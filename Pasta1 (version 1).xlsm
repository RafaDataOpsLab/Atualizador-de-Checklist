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0000000-0000-0000-0000-0000000000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luminaecombr-my.sharepoint.com/personal/rafael_cruz_luminae_com_br/Documents/Documents/"/>
    </mc:Choice>
  </mc:AlternateContent>
  <xr:revisionPtr revIDLastSave="1219" documentId="8_{0C524DF2-BE28-4756-910D-EADC2278EB4C}" xr6:coauthVersionLast="47" xr6:coauthVersionMax="47" xr10:uidLastSave="{E3BED32F-8FCF-4ABC-AD2C-FA7CC908BCCE}"/>
  <bookViews>
    <workbookView xWindow="-120" yWindow="-120" windowWidth="29040" windowHeight="15720" activeTab="1" xr2:uid="{92B362EC-EA4E-4990-8D56-EF8650A404C5}"/>
  </bookViews>
  <sheets>
    <sheet name="Dados" sheetId="2" r:id="rId1"/>
    <sheet name="bd" sheetId="1" r:id="rId2"/>
    <sheet name="Planilha2" sheetId="3" r:id="rId3"/>
    <sheet name="Planilha3" sheetId="4" r:id="rId4"/>
  </sheets>
  <functionGroups builtInGroupCount="19"/>
  <externalReferences>
    <externalReference r:id="rId5"/>
    <externalReference r:id="rId6"/>
    <externalReference r:id="rId7"/>
  </externalReferences>
  <definedNames>
    <definedName name="_xlnm._FilterDatabase" localSheetId="1" hidden="1">bd!$A$1:$H$32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s="1"/>
  <c r="G2" i="1" s="1"/>
  <c r="G26" i="1" l="1"/>
  <c r="G18" i="1"/>
  <c r="G10" i="1"/>
  <c r="G3" i="1"/>
  <c r="G25" i="1"/>
  <c r="G17" i="1"/>
  <c r="G9" i="1"/>
  <c r="G32" i="1"/>
  <c r="G24" i="1"/>
  <c r="G16" i="1"/>
  <c r="G8" i="1"/>
  <c r="G31" i="1"/>
  <c r="G23" i="1"/>
  <c r="G15" i="1"/>
  <c r="G7" i="1"/>
  <c r="G27" i="1"/>
  <c r="G30" i="1"/>
  <c r="G22" i="1"/>
  <c r="G14" i="1"/>
  <c r="G6" i="1"/>
  <c r="G11" i="1"/>
  <c r="G29" i="1"/>
  <c r="G21" i="1"/>
  <c r="G13" i="1"/>
  <c r="G5" i="1"/>
  <c r="G19" i="1"/>
  <c r="G28" i="1"/>
  <c r="G20" i="1"/>
  <c r="G12" i="1"/>
  <c r="G4" i="1"/>
  <c r="E10" i="1"/>
  <c r="E18" i="1"/>
  <c r="E26" i="1"/>
  <c r="D10" i="1"/>
  <c r="D18" i="1"/>
  <c r="D26" i="1"/>
  <c r="C10" i="1"/>
  <c r="C18" i="1"/>
  <c r="C26" i="1"/>
  <c r="F10" i="1" a="1"/>
  <c r="F10" i="1" s="1"/>
  <c r="F18" i="1" a="1"/>
  <c r="F18" i="1" s="1"/>
  <c r="F26" i="1" a="1"/>
  <c r="F26" i="1" s="1"/>
  <c r="E3" i="1"/>
  <c r="E11" i="1"/>
  <c r="E19" i="1"/>
  <c r="E27" i="1"/>
  <c r="D3" i="1"/>
  <c r="D11" i="1"/>
  <c r="D19" i="1"/>
  <c r="D27" i="1"/>
  <c r="C3" i="1"/>
  <c r="C11" i="1"/>
  <c r="C19" i="1"/>
  <c r="C27" i="1"/>
  <c r="F3" i="1" a="1"/>
  <c r="F3" i="1" s="1"/>
  <c r="F11" i="1" a="1"/>
  <c r="F11" i="1" s="1"/>
  <c r="F19" i="1" a="1"/>
  <c r="F19" i="1" s="1"/>
  <c r="F27" i="1" a="1"/>
  <c r="F27" i="1" s="1"/>
  <c r="D9" i="1"/>
  <c r="C17" i="1"/>
  <c r="F9" i="1" a="1"/>
  <c r="F9" i="1" s="1"/>
  <c r="E4" i="1"/>
  <c r="E12" i="1"/>
  <c r="E20" i="1"/>
  <c r="E28" i="1"/>
  <c r="D4" i="1"/>
  <c r="D12" i="1"/>
  <c r="D20" i="1"/>
  <c r="D28" i="1"/>
  <c r="C4" i="1"/>
  <c r="C12" i="1"/>
  <c r="C20" i="1"/>
  <c r="C28" i="1"/>
  <c r="F4" i="1" a="1"/>
  <c r="F4" i="1" s="1"/>
  <c r="F12" i="1" a="1"/>
  <c r="F12" i="1" s="1"/>
  <c r="F20" i="1" a="1"/>
  <c r="F20" i="1" s="1"/>
  <c r="F28" i="1" a="1"/>
  <c r="F28" i="1" s="1"/>
  <c r="D17" i="1"/>
  <c r="C25" i="1"/>
  <c r="F25" i="1" a="1"/>
  <c r="F25" i="1" s="1"/>
  <c r="E5" i="1"/>
  <c r="E13" i="1"/>
  <c r="E21" i="1"/>
  <c r="E29" i="1"/>
  <c r="D5" i="1"/>
  <c r="D13" i="1"/>
  <c r="D21" i="1"/>
  <c r="D29" i="1"/>
  <c r="C5" i="1"/>
  <c r="C13" i="1"/>
  <c r="C21" i="1"/>
  <c r="C29" i="1"/>
  <c r="F5" i="1" a="1"/>
  <c r="F5" i="1" s="1"/>
  <c r="F13" i="1" a="1"/>
  <c r="F13" i="1" s="1"/>
  <c r="F21" i="1" a="1"/>
  <c r="F21" i="1" s="1"/>
  <c r="F29" i="1" a="1"/>
  <c r="F29" i="1" s="1"/>
  <c r="E6" i="1"/>
  <c r="E14" i="1"/>
  <c r="E22" i="1"/>
  <c r="E30" i="1"/>
  <c r="D6" i="1"/>
  <c r="D14" i="1"/>
  <c r="D22" i="1"/>
  <c r="D30" i="1"/>
  <c r="C6" i="1"/>
  <c r="C14" i="1"/>
  <c r="C22" i="1"/>
  <c r="C30" i="1"/>
  <c r="F6" i="1" a="1"/>
  <c r="F6" i="1" s="1"/>
  <c r="F14" i="1" a="1"/>
  <c r="F14" i="1" s="1"/>
  <c r="F22" i="1" a="1"/>
  <c r="F22" i="1" s="1"/>
  <c r="F30" i="1" a="1"/>
  <c r="F30" i="1" s="1"/>
  <c r="E17" i="1"/>
  <c r="E7" i="1"/>
  <c r="E15" i="1"/>
  <c r="E23" i="1"/>
  <c r="E31" i="1"/>
  <c r="D7" i="1"/>
  <c r="D15" i="1"/>
  <c r="D23" i="1"/>
  <c r="D31" i="1"/>
  <c r="C7" i="1"/>
  <c r="C15" i="1"/>
  <c r="C23" i="1"/>
  <c r="C31" i="1"/>
  <c r="F7" i="1" a="1"/>
  <c r="F7" i="1" s="1"/>
  <c r="F15" i="1" a="1"/>
  <c r="F15" i="1" s="1"/>
  <c r="F23" i="1" a="1"/>
  <c r="F23" i="1" s="1"/>
  <c r="F31" i="1" a="1"/>
  <c r="F31" i="1" s="1"/>
  <c r="E25" i="1"/>
  <c r="C9" i="1"/>
  <c r="E8" i="1"/>
  <c r="E16" i="1"/>
  <c r="E24" i="1"/>
  <c r="E32" i="1"/>
  <c r="D8" i="1"/>
  <c r="D16" i="1"/>
  <c r="D24" i="1"/>
  <c r="D32" i="1"/>
  <c r="C8" i="1"/>
  <c r="C16" i="1"/>
  <c r="C24" i="1"/>
  <c r="C32" i="1"/>
  <c r="F8" i="1" a="1"/>
  <c r="F8" i="1" s="1"/>
  <c r="F16" i="1" a="1"/>
  <c r="F16" i="1" s="1"/>
  <c r="F24" i="1" a="1"/>
  <c r="F24" i="1" s="1"/>
  <c r="F32" i="1" a="1"/>
  <c r="F32" i="1" s="1"/>
  <c r="E9" i="1"/>
  <c r="D25" i="1"/>
  <c r="F17" i="1" a="1"/>
  <c r="F17" i="1" s="1"/>
  <c r="H26" i="1"/>
  <c r="H25" i="1"/>
  <c r="H18" i="1"/>
  <c r="H10" i="1"/>
  <c r="H17" i="1"/>
  <c r="H9" i="1"/>
  <c r="H32" i="1"/>
  <c r="H24" i="1"/>
  <c r="H16" i="1"/>
  <c r="H8" i="1"/>
  <c r="H31" i="1"/>
  <c r="H23" i="1"/>
  <c r="H15" i="1"/>
  <c r="H7" i="1"/>
  <c r="H30" i="1"/>
  <c r="H22" i="1"/>
  <c r="H14" i="1"/>
  <c r="H6" i="1"/>
  <c r="H29" i="1"/>
  <c r="H21" i="1"/>
  <c r="H13" i="1"/>
  <c r="H5" i="1"/>
  <c r="H28" i="1"/>
  <c r="H20" i="1"/>
  <c r="H12" i="1"/>
  <c r="H4" i="1"/>
  <c r="H27" i="1"/>
  <c r="H19" i="1"/>
  <c r="H11" i="1"/>
  <c r="H3" i="1"/>
  <c r="H2" i="1" l="1"/>
  <c r="E2" i="1"/>
  <c r="D2" i="1"/>
  <c r="C2" i="1"/>
  <c r="F2" i="1" a="1"/>
  <c r="F2" i="1" s="1"/>
  <c r="K1" i="1" l="1" a="1"/>
  <c r="K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<sst xmlns="http://schemas.openxmlformats.org/spreadsheetml/2006/main" count="133" uniqueCount="72">
  <si>
    <t>Sigla</t>
  </si>
  <si>
    <t>TST Regional</t>
  </si>
  <si>
    <t>Nome Colaborador</t>
  </si>
  <si>
    <t>Função</t>
  </si>
  <si>
    <t>Atividade Critica</t>
  </si>
  <si>
    <t>Assinatura</t>
  </si>
  <si>
    <t>Fornecedor</t>
  </si>
  <si>
    <t>JONATHA DIEGO SILVA LIMA</t>
  </si>
  <si>
    <t>LIDER TECNICO DE INSTALACAO</t>
  </si>
  <si>
    <t>Eletrics</t>
  </si>
  <si>
    <t>Luminae</t>
  </si>
  <si>
    <t>Endereço</t>
  </si>
  <si>
    <t>Nome da loja</t>
  </si>
  <si>
    <t>Cidade</t>
  </si>
  <si>
    <t>Estado</t>
  </si>
  <si>
    <t>CHAVE</t>
  </si>
  <si>
    <t>VALOR</t>
  </si>
  <si>
    <t>&lt;&lt;Lojas&gt;&gt;</t>
  </si>
  <si>
    <t>Loja A;Loja B;Loja C</t>
  </si>
  <si>
    <t>&lt;&lt;Endereços&gt;&gt;</t>
  </si>
  <si>
    <t>Rua A, 123;Rua B, 456;Rua C, 789</t>
  </si>
  <si>
    <t>&lt;&lt;inicio&gt;&gt;</t>
  </si>
  <si>
    <t>27/05/2025</t>
  </si>
  <si>
    <t>&lt;&lt;fim&gt;&gt;</t>
  </si>
  <si>
    <t>31/05/2025</t>
  </si>
  <si>
    <t>&lt;&lt;técnicos&gt;&gt;</t>
  </si>
  <si>
    <t>Carlos;Eletricista;Sim|Joana;Técnica;Não|Marcos;Auxiliar;Sim</t>
  </si>
  <si>
    <t>&lt;&lt;EmissorLuminae&gt;&gt;</t>
  </si>
  <si>
    <t>Matheus Rungue</t>
  </si>
  <si>
    <t>&lt;&lt;validadeAPR&gt;&gt;</t>
  </si>
  <si>
    <t>10 dias</t>
  </si>
  <si>
    <t>&lt;&lt;nomeEmissor&gt;&gt;</t>
  </si>
  <si>
    <t>&lt;&lt;CPFEmissor&gt;&gt;</t>
  </si>
  <si>
    <t>123.456.789-00</t>
  </si>
  <si>
    <t>&lt;&lt;cargoEmissor&gt;&gt;</t>
  </si>
  <si>
    <t>Engenheiro Eletricista</t>
  </si>
  <si>
    <t>&lt;&lt;dataEmissao&gt;&gt;</t>
  </si>
  <si>
    <t>26/05/2025</t>
  </si>
  <si>
    <t>UELTON SOUZA</t>
  </si>
  <si>
    <t>&lt;&lt;Sigla&gt;&gt;</t>
  </si>
  <si>
    <t>&lt;&lt;Cidade&gt;&gt;</t>
  </si>
  <si>
    <t>&lt;&lt;Estado&gt;&gt;</t>
  </si>
  <si>
    <t>ABC;DEF;GHI</t>
  </si>
  <si>
    <t>Osasco</t>
  </si>
  <si>
    <t>SP</t>
  </si>
  <si>
    <t>VALDIR ALKMIN</t>
  </si>
  <si>
    <t>FRANCISCO</t>
  </si>
  <si>
    <t>TECNICO DE MANUTENÇÃO</t>
  </si>
  <si>
    <t>DIEGO FERREIRA SANTOS</t>
  </si>
  <si>
    <t>FERANDO FEITOSA BRITO</t>
  </si>
  <si>
    <t>JOANES FERREIRA DOS SANRTOS</t>
  </si>
  <si>
    <t>JONATHAN SANTOS GRACIANO</t>
  </si>
  <si>
    <t>JONNY ROBSON SANTOS SANTANA</t>
  </si>
  <si>
    <t>PAULO HENRIQUE DE JESUS</t>
  </si>
  <si>
    <t>ROSENILDO VALDOMIRO GOMES DE MORAIS</t>
  </si>
  <si>
    <t>D'FERR</t>
  </si>
  <si>
    <t>DIEGO GALASSO</t>
  </si>
  <si>
    <t>TEG</t>
  </si>
  <si>
    <t>ANDRE LUIZ DA SILVA</t>
  </si>
  <si>
    <t>RYAN AGUIAR SANTOS CAMPANELLI</t>
  </si>
  <si>
    <t>YAN BOTOSSI GALASSO</t>
  </si>
  <si>
    <t>Eletrica</t>
  </si>
  <si>
    <t>ok</t>
  </si>
  <si>
    <t>&lt;&lt;Função&gt;&gt;</t>
  </si>
  <si>
    <t>&lt;&lt;Atividade&gt;&gt;</t>
  </si>
  <si>
    <t>JONATHA DIEGO SILVA LIMA_x000D_
VALDIR ALKMIN_x000D_
FRANCISCO</t>
  </si>
  <si>
    <t>LIDER TECNICO DE INSTALACAO_x000D_
LIDER TECNICO DE INSTALACAO_x000D_
TECNICO DE MANUTENÇÃO</t>
  </si>
  <si>
    <t>Eletrica_x000D_
Eletrica_x000D_
Eletrica</t>
  </si>
  <si>
    <t>SAM´S S.J. DOS CAMPOS</t>
  </si>
  <si>
    <t>JCS</t>
  </si>
  <si>
    <t>SÃO JOSÉ DOS CAMPOS</t>
  </si>
  <si>
    <t>AV.CASSIANO RICARDO, 1993, SÃO JOSÉ DOS CAMPOS,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</si>
</sst>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luminaecombr-my.sharepoint.com/personal/rafael_cruz_luminae_com_br/Documents/Arquivos%20de%20Chat%20do%20Microsoft%20Teams/contatos%20Carrefour%20SESMT.xlsx" TargetMode="External"/><Relationship Id="rId1" Type="http://schemas.openxmlformats.org/officeDocument/2006/relationships/externalLinkPath" Target="/personal/rafael_cruz_luminae_com_br/Documents/Arquivos%20de%20Chat%20do%20Microsoft%20Teams/contatos%20Carrefour%20SESM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luminaecombr.sharepoint.com/sites/GI/Shared%20Documents/General/Clientes/Carrefour/Projeto%20Onda%204%20-%20Cronogramas/Cronograma_Carrefour%20-%20Atualiza&#231;&#227;o%20de%20escopo.xlsm" TargetMode="External"/><Relationship Id="rId1" Type="http://schemas.openxmlformats.org/officeDocument/2006/relationships/externalLinkPath" Target="https://luminaecombr.sharepoint.com/sites/GI/Shared%20Documents/General/Clientes/Carrefour/Projeto%20Onda%204%20-%20Cronogramas/Cronograma_Carrefour%20-%20Atualiza&#231;&#227;o%20de%20escopo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luminaecombr.sharepoint.com/sites/GI/Shared%20Documents/General/Clientes/Carrefour/Lojas%20do%20projeto%20V2.xlsb" TargetMode="External"/><Relationship Id="rId1" Type="http://schemas.openxmlformats.org/officeDocument/2006/relationships/externalLinkPath" Target="https://luminaecombr.sharepoint.com/sites/GI/Shared%20Documents/General/Clientes/Carrefour/Lojas%20do%20projeto%20V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JAS AUTOMAÇÃO"/>
      <sheetName val="DADOS SESMT"/>
      <sheetName val="Plan3"/>
    </sheetNames>
    <sheetDataSet>
      <sheetData sheetId="0">
        <row r="1">
          <cell r="A1" t="str">
            <v>Cod</v>
          </cell>
          <cell r="K1" t="str">
            <v>TST REGIONAL</v>
          </cell>
        </row>
        <row r="2">
          <cell r="A2" t="str">
            <v>OSC</v>
          </cell>
          <cell r="K2" t="str">
            <v>JORDANA NASCIMENTO</v>
          </cell>
        </row>
        <row r="3">
          <cell r="A3" t="str">
            <v>JCS</v>
          </cell>
          <cell r="K3" t="str">
            <v>CLAUDIA ALEM</v>
          </cell>
        </row>
        <row r="4">
          <cell r="A4" t="str">
            <v>RJJ</v>
          </cell>
          <cell r="K4" t="str">
            <v>MARIA LUIZA DOS SANTOS</v>
          </cell>
        </row>
        <row r="5">
          <cell r="A5" t="str">
            <v>CMO</v>
          </cell>
          <cell r="K5" t="str">
            <v>JESSE SILVA</v>
          </cell>
        </row>
        <row r="6">
          <cell r="A6" t="str">
            <v>SBK</v>
          </cell>
          <cell r="K6" t="str">
            <v>JESSE SILVA</v>
          </cell>
        </row>
        <row r="7">
          <cell r="A7" t="str">
            <v>RJB</v>
          </cell>
          <cell r="K7" t="str">
            <v>ELISABETH DA COSTA</v>
          </cell>
        </row>
        <row r="8">
          <cell r="A8" t="str">
            <v>TBE</v>
          </cell>
          <cell r="K8" t="str">
            <v>DIEGO SOUZA</v>
          </cell>
        </row>
        <row r="9">
          <cell r="A9" t="str">
            <v>SPL</v>
          </cell>
          <cell r="K9" t="str">
            <v>ANTONIO MONTEIRO</v>
          </cell>
        </row>
        <row r="10">
          <cell r="A10" t="str">
            <v>SPG</v>
          </cell>
          <cell r="K10" t="str">
            <v>NATALIA DELGADO</v>
          </cell>
        </row>
        <row r="11">
          <cell r="A11" t="str">
            <v>TTE</v>
          </cell>
          <cell r="K11" t="str">
            <v>GILDA PAES</v>
          </cell>
        </row>
        <row r="12">
          <cell r="A12" t="str">
            <v>SPT</v>
          </cell>
          <cell r="K12" t="str">
            <v>NADJA</v>
          </cell>
        </row>
        <row r="13">
          <cell r="A13" t="str">
            <v>SPC</v>
          </cell>
          <cell r="K13" t="str">
            <v>GRAZIELE SHIRLEY</v>
          </cell>
        </row>
        <row r="14">
          <cell r="A14" t="str">
            <v>SPA</v>
          </cell>
          <cell r="K14" t="str">
            <v>JESSE SILVA</v>
          </cell>
        </row>
        <row r="15">
          <cell r="A15" t="str">
            <v>SPR</v>
          </cell>
          <cell r="K15" t="str">
            <v>GILDA PAES</v>
          </cell>
        </row>
        <row r="16">
          <cell r="A16" t="str">
            <v>CNT</v>
          </cell>
          <cell r="K16" t="str">
            <v>NATALIA DELGADO</v>
          </cell>
        </row>
        <row r="17">
          <cell r="A17" t="str">
            <v>STS</v>
          </cell>
          <cell r="K17" t="str">
            <v>JORDANA NASCIMENTO</v>
          </cell>
        </row>
        <row r="18">
          <cell r="A18" t="str">
            <v>CPV</v>
          </cell>
          <cell r="K18" t="str">
            <v>CAMILA AVANÇO</v>
          </cell>
        </row>
        <row r="19">
          <cell r="A19" t="str">
            <v>SPP</v>
          </cell>
          <cell r="K19" t="str">
            <v>RITA SANTOS</v>
          </cell>
        </row>
        <row r="20">
          <cell r="A20" t="str">
            <v>SPB</v>
          </cell>
          <cell r="K20" t="str">
            <v>RITA SANTOS</v>
          </cell>
        </row>
        <row r="21">
          <cell r="A21" t="str">
            <v>SPO</v>
          </cell>
          <cell r="K21" t="str">
            <v>RITA SANTOS</v>
          </cell>
        </row>
        <row r="22">
          <cell r="A22" t="str">
            <v>BCV</v>
          </cell>
          <cell r="K22" t="str">
            <v>ANTONIO MONTEIRO</v>
          </cell>
        </row>
        <row r="23">
          <cell r="A23" t="str">
            <v>SPS</v>
          </cell>
          <cell r="K23" t="str">
            <v>FLAVIO CONSTANTINO</v>
          </cell>
        </row>
        <row r="24">
          <cell r="A24" t="str">
            <v>SPI</v>
          </cell>
          <cell r="K24" t="str">
            <v>NATALIA DELGADO</v>
          </cell>
        </row>
        <row r="25">
          <cell r="A25" t="str">
            <v>SPE</v>
          </cell>
          <cell r="K25" t="str">
            <v>GILDA PAES</v>
          </cell>
        </row>
        <row r="26">
          <cell r="A26" t="str">
            <v>EPL</v>
          </cell>
          <cell r="K26" t="str">
            <v>RITA SANTOS</v>
          </cell>
        </row>
        <row r="27">
          <cell r="A27" t="str">
            <v>SNS</v>
          </cell>
          <cell r="K27" t="str">
            <v>FLAVIO CONSTANTINO</v>
          </cell>
        </row>
        <row r="28">
          <cell r="A28" t="str">
            <v>CAP</v>
          </cell>
          <cell r="K28" t="str">
            <v>CAMILA AVANÇO</v>
          </cell>
        </row>
        <row r="29">
          <cell r="A29" t="str">
            <v>CSA</v>
          </cell>
          <cell r="K29" t="str">
            <v>JORDANA NASCIMENTO</v>
          </cell>
        </row>
        <row r="30">
          <cell r="A30" t="str">
            <v>STA</v>
          </cell>
          <cell r="K30" t="str">
            <v>FELIPE BOTELHO</v>
          </cell>
        </row>
        <row r="31">
          <cell r="A31" t="str">
            <v>STO</v>
          </cell>
          <cell r="K31" t="str">
            <v>FLAVIO CONSTANTINO</v>
          </cell>
        </row>
        <row r="32">
          <cell r="A32" t="str">
            <v>SAS</v>
          </cell>
          <cell r="K32" t="str">
            <v>JOSÉ MAURÍCIO CLEMENTINO MOTA</v>
          </cell>
        </row>
        <row r="33">
          <cell r="A33" t="str">
            <v>CIN</v>
          </cell>
          <cell r="K33" t="str">
            <v>CAMILA AVANÇO</v>
          </cell>
        </row>
        <row r="34">
          <cell r="A34" t="str">
            <v>EPP</v>
          </cell>
          <cell r="K34" t="str">
            <v>vago</v>
          </cell>
        </row>
        <row r="35">
          <cell r="A35" t="str">
            <v>PTS</v>
          </cell>
          <cell r="K35" t="str">
            <v>vago</v>
          </cell>
        </row>
        <row r="36">
          <cell r="A36" t="str">
            <v>CVN</v>
          </cell>
          <cell r="K36" t="str">
            <v>DENIS DUBOVICKI</v>
          </cell>
        </row>
        <row r="37">
          <cell r="A37" t="str">
            <v>BGU</v>
          </cell>
          <cell r="K37" t="str">
            <v>NADJA</v>
          </cell>
        </row>
        <row r="38">
          <cell r="A38" t="str">
            <v>GRU</v>
          </cell>
          <cell r="K38" t="str">
            <v>NADJA</v>
          </cell>
        </row>
        <row r="39">
          <cell r="A39" t="str">
            <v>BSA</v>
          </cell>
          <cell r="K39" t="str">
            <v>FELIPE BOTELHO</v>
          </cell>
        </row>
        <row r="40">
          <cell r="A40" t="str">
            <v>CVA</v>
          </cell>
          <cell r="K40" t="str">
            <v>CLAUDIA ALEM</v>
          </cell>
        </row>
        <row r="41">
          <cell r="A41" t="str">
            <v>ERE</v>
          </cell>
          <cell r="K41" t="str">
            <v>JESSE SILVA</v>
          </cell>
        </row>
        <row r="42">
          <cell r="A42" t="str">
            <v>CSB</v>
          </cell>
          <cell r="K42" t="str">
            <v>UELTON SOUZA</v>
          </cell>
        </row>
        <row r="43">
          <cell r="A43" t="str">
            <v>SBP</v>
          </cell>
          <cell r="K43" t="str">
            <v>UELTON SOUZA</v>
          </cell>
        </row>
        <row r="44">
          <cell r="A44" t="str">
            <v>SBD</v>
          </cell>
          <cell r="K44" t="str">
            <v>UELTON SOUZA</v>
          </cell>
        </row>
        <row r="45">
          <cell r="A45" t="str">
            <v>SBC</v>
          </cell>
          <cell r="K45" t="str">
            <v>UELTON SOUZA</v>
          </cell>
        </row>
        <row r="46">
          <cell r="A46" t="str">
            <v>BHC</v>
          </cell>
          <cell r="K46" t="str">
            <v>LEONARDO OLIVEIRA</v>
          </cell>
        </row>
        <row r="47">
          <cell r="A47" t="str">
            <v>BHP</v>
          </cell>
          <cell r="K47" t="str">
            <v>CARLA GARITO SOUZA</v>
          </cell>
        </row>
        <row r="48">
          <cell r="A48" t="str">
            <v>BHA</v>
          </cell>
          <cell r="K48" t="str">
            <v>LEONARDO OLIVEIRA</v>
          </cell>
        </row>
        <row r="49">
          <cell r="A49" t="str">
            <v>RPS</v>
          </cell>
          <cell r="K49" t="str">
            <v>MATEUS RAYMUNDO</v>
          </cell>
        </row>
        <row r="50">
          <cell r="A50" t="str">
            <v>CPS</v>
          </cell>
          <cell r="K50" t="str">
            <v>CAMILA AVANÇO</v>
          </cell>
        </row>
        <row r="51">
          <cell r="A51" t="str">
            <v>ECP</v>
          </cell>
          <cell r="K51" t="str">
            <v>DENIS DUBOVICKI</v>
          </cell>
        </row>
        <row r="52">
          <cell r="A52" t="str">
            <v>CAL</v>
          </cell>
          <cell r="K52" t="str">
            <v>MARIA LUIZA DOS SANTOS</v>
          </cell>
        </row>
        <row r="53">
          <cell r="A53" t="str">
            <v>CAS</v>
          </cell>
          <cell r="K53" t="str">
            <v>DENIS DUBOVICKI</v>
          </cell>
        </row>
        <row r="54">
          <cell r="A54" t="str">
            <v>RAS</v>
          </cell>
          <cell r="K54" t="str">
            <v>MARIA LUIZA DOS SANTOS</v>
          </cell>
        </row>
        <row r="55">
          <cell r="A55" t="str">
            <v>EST (SAN)</v>
          </cell>
          <cell r="K55" t="str">
            <v>WARLEY ALMEIDA</v>
          </cell>
        </row>
        <row r="56">
          <cell r="A56" t="str">
            <v>TAU</v>
          </cell>
          <cell r="K56" t="str">
            <v>CLAUDIA ALEM</v>
          </cell>
        </row>
        <row r="57">
          <cell r="A57" t="str">
            <v>CIT</v>
          </cell>
          <cell r="K57" t="str">
            <v>DENIS DUBOVICKI</v>
          </cell>
        </row>
        <row r="58">
          <cell r="A58" t="str">
            <v>PIR</v>
          </cell>
          <cell r="K58" t="str">
            <v>CAMILA AVANÇO</v>
          </cell>
        </row>
        <row r="59">
          <cell r="A59" t="str">
            <v>PBM</v>
          </cell>
          <cell r="K59" t="str">
            <v>JULIANA RODRIGUES LIMA</v>
          </cell>
        </row>
        <row r="60">
          <cell r="A60" t="str">
            <v>RPN</v>
          </cell>
          <cell r="K60" t="str">
            <v>MATEUS RAYMUNDO</v>
          </cell>
        </row>
        <row r="61">
          <cell r="A61" t="str">
            <v>SBS</v>
          </cell>
          <cell r="K61" t="str">
            <v>DENIS DUBOVICKI</v>
          </cell>
        </row>
        <row r="62">
          <cell r="A62" t="str">
            <v>BGS</v>
          </cell>
          <cell r="K62" t="str">
            <v>RICARDO AZEVEDO</v>
          </cell>
        </row>
        <row r="63">
          <cell r="A63" t="str">
            <v>RJS</v>
          </cell>
          <cell r="K63" t="str">
            <v>ELISABETH DA COSTA</v>
          </cell>
        </row>
        <row r="64">
          <cell r="A64" t="str">
            <v>SOR</v>
          </cell>
          <cell r="K64" t="str">
            <v>DENIS DUBOVICKI</v>
          </cell>
        </row>
        <row r="65">
          <cell r="A65" t="str">
            <v>SCS</v>
          </cell>
          <cell r="K65" t="str">
            <v>FELIPE BOTELHO</v>
          </cell>
        </row>
        <row r="66">
          <cell r="A66" t="str">
            <v>BSB</v>
          </cell>
          <cell r="K66" t="str">
            <v>JULIANA RODRIGUES LIMA</v>
          </cell>
        </row>
        <row r="67">
          <cell r="A67" t="str">
            <v>CWC</v>
          </cell>
          <cell r="K67" t="str">
            <v>FRANCISCO ERINALDO DA SILVA CAMPOS</v>
          </cell>
        </row>
        <row r="68">
          <cell r="A68" t="str">
            <v>CRB</v>
          </cell>
          <cell r="K68" t="str">
            <v>MATEUS RAYMUNDO</v>
          </cell>
        </row>
        <row r="69">
          <cell r="A69" t="str">
            <v>PL2</v>
          </cell>
          <cell r="K69" t="str">
            <v>JULIANA RODRIGUES LIMA</v>
          </cell>
        </row>
        <row r="70">
          <cell r="A70" t="str">
            <v>CST</v>
          </cell>
          <cell r="K70" t="str">
            <v>DENIS DUBOVICKI</v>
          </cell>
        </row>
        <row r="71">
          <cell r="A71" t="str">
            <v>RJD</v>
          </cell>
          <cell r="K71" t="str">
            <v>ELISABETH DA COSTA</v>
          </cell>
        </row>
        <row r="72">
          <cell r="A72" t="str">
            <v>JRS</v>
          </cell>
          <cell r="K72" t="str">
            <v>MATEUS RAYMUNDO</v>
          </cell>
        </row>
        <row r="73">
          <cell r="A73" t="str">
            <v>SJC</v>
          </cell>
          <cell r="K73" t="str">
            <v>CLAUDIA ALEM</v>
          </cell>
        </row>
        <row r="74">
          <cell r="A74" t="str">
            <v>GSC</v>
          </cell>
          <cell r="K74" t="str">
            <v>MATEUS RAYMUNDO</v>
          </cell>
        </row>
        <row r="75">
          <cell r="A75" t="str">
            <v>BAN</v>
          </cell>
          <cell r="K75" t="str">
            <v>JULIANA RODRIGUES LIMA</v>
          </cell>
        </row>
        <row r="76">
          <cell r="A76" t="str">
            <v>DDC</v>
          </cell>
          <cell r="K76" t="str">
            <v>ELISABETH DA COSTA</v>
          </cell>
        </row>
        <row r="77">
          <cell r="A77" t="str">
            <v>GUA</v>
          </cell>
          <cell r="K77" t="str">
            <v>WARLEY ALMEIDA</v>
          </cell>
        </row>
        <row r="78">
          <cell r="A78" t="str">
            <v>CSS</v>
          </cell>
          <cell r="K78" t="str">
            <v>MATEUS RAYMUNDO</v>
          </cell>
        </row>
        <row r="79">
          <cell r="A79" t="str">
            <v>SON</v>
          </cell>
          <cell r="K79" t="str">
            <v>DENIS DUBOVICKI</v>
          </cell>
        </row>
        <row r="80">
          <cell r="A80" t="str">
            <v>SJP</v>
          </cell>
          <cell r="K80" t="str">
            <v>MATEUS RAYMUNDO</v>
          </cell>
        </row>
        <row r="81">
          <cell r="A81" t="str">
            <v>CTB</v>
          </cell>
          <cell r="K81" t="str">
            <v>CLAUDIA ALEM</v>
          </cell>
        </row>
        <row r="82">
          <cell r="A82" t="str">
            <v>GSF</v>
          </cell>
          <cell r="K82" t="str">
            <v>MATEUS RAYMUNDO</v>
          </cell>
        </row>
        <row r="83">
          <cell r="A83" t="str">
            <v>SAV</v>
          </cell>
          <cell r="K83" t="str">
            <v>WARLEY ALMEIDA</v>
          </cell>
        </row>
        <row r="84">
          <cell r="A84" t="str">
            <v>BSP</v>
          </cell>
          <cell r="K84" t="str">
            <v>WARLEY ALMEIDA</v>
          </cell>
        </row>
        <row r="85">
          <cell r="A85" t="str">
            <v>PRS</v>
          </cell>
          <cell r="K85" t="str">
            <v>CAMILA AVANÇO</v>
          </cell>
        </row>
        <row r="86">
          <cell r="A86" t="str">
            <v>FRA</v>
          </cell>
          <cell r="K86" t="str">
            <v>MATEUS RAYMUNDO</v>
          </cell>
        </row>
        <row r="87">
          <cell r="A87" t="str">
            <v>CCP</v>
          </cell>
          <cell r="K87" t="str">
            <v>MARIA LUIZA DOS SANTOS</v>
          </cell>
        </row>
        <row r="88">
          <cell r="A88" t="str">
            <v>CPR</v>
          </cell>
          <cell r="K88" t="str">
            <v>WARLEY ALMEIDA</v>
          </cell>
        </row>
        <row r="89">
          <cell r="A89" t="str">
            <v>BAS</v>
          </cell>
          <cell r="K89" t="str">
            <v>MATEUS RAYMUNDO</v>
          </cell>
        </row>
        <row r="90">
          <cell r="A90" t="str">
            <v>NTL</v>
          </cell>
          <cell r="K90" t="str">
            <v>ELANE DIAS</v>
          </cell>
        </row>
        <row r="91">
          <cell r="A91" t="str">
            <v>BHS</v>
          </cell>
          <cell r="K91" t="str">
            <v>LEONARDO OLIVEIRA</v>
          </cell>
        </row>
        <row r="92">
          <cell r="A92" t="str">
            <v>CNS</v>
          </cell>
          <cell r="K92" t="str">
            <v>FRANCISCO RODRIGUES</v>
          </cell>
        </row>
        <row r="93">
          <cell r="A93" t="str">
            <v>CXS</v>
          </cell>
          <cell r="K93" t="str">
            <v>FRANCISCO RODRIGUES</v>
          </cell>
        </row>
        <row r="94">
          <cell r="A94" t="str">
            <v>UBL</v>
          </cell>
          <cell r="K94" t="str">
            <v>AYANE - TERCEIRO</v>
          </cell>
        </row>
        <row r="95">
          <cell r="A95" t="str">
            <v>NZN</v>
          </cell>
          <cell r="K95" t="str">
            <v>ELANE DIAS</v>
          </cell>
        </row>
        <row r="96">
          <cell r="A96" t="str">
            <v>PAS</v>
          </cell>
          <cell r="K96" t="str">
            <v>WAGNER MACHADO SILVEIRA</v>
          </cell>
        </row>
        <row r="97">
          <cell r="A97" t="str">
            <v>CIS</v>
          </cell>
          <cell r="K97" t="str">
            <v>FRANCISCO RODRIGUES</v>
          </cell>
        </row>
        <row r="98">
          <cell r="A98" t="str">
            <v>JPE</v>
          </cell>
          <cell r="K98" t="str">
            <v>EDUARDO MONTEIRO RODRIGUES DE SAL</v>
          </cell>
        </row>
        <row r="99">
          <cell r="A99" t="str">
            <v>PPA</v>
          </cell>
          <cell r="K99" t="str">
            <v>EDUARDO LUZ</v>
          </cell>
        </row>
        <row r="100">
          <cell r="A100" t="str">
            <v>SMA</v>
          </cell>
          <cell r="K100" t="str">
            <v>BIANCA SOARES FERNANDES/FRANCISCO MARCELO</v>
          </cell>
        </row>
        <row r="101">
          <cell r="A101" t="str">
            <v>CGS</v>
          </cell>
          <cell r="K101" t="str">
            <v>LIDIANE - TERCEIRO</v>
          </cell>
        </row>
        <row r="102">
          <cell r="A102" t="str">
            <v>CWP</v>
          </cell>
          <cell r="K102" t="str">
            <v>FRANCISCO ERINALDO DA SILVA CAMPOS</v>
          </cell>
        </row>
        <row r="103">
          <cell r="A103" t="str">
            <v>VVS</v>
          </cell>
          <cell r="K103" t="str">
            <v>ELISABETH DA COSTA</v>
          </cell>
        </row>
        <row r="104">
          <cell r="A104" t="str">
            <v>SBN</v>
          </cell>
          <cell r="K104" t="str">
            <v>JULIANA LOPES FERREIRA</v>
          </cell>
        </row>
        <row r="105">
          <cell r="A105" t="str">
            <v>GOS</v>
          </cell>
          <cell r="K105" t="str">
            <v>JAILSON PORTO</v>
          </cell>
        </row>
        <row r="106">
          <cell r="A106" t="str">
            <v>PN4</v>
          </cell>
          <cell r="K106" t="str">
            <v>JULIANA RODRIGUES LIMA</v>
          </cell>
        </row>
        <row r="107">
          <cell r="A107" t="str">
            <v>JPB</v>
          </cell>
          <cell r="K107" t="str">
            <v>EDUARDO MONTEIRO RODRIGUES DE SAL</v>
          </cell>
        </row>
        <row r="108">
          <cell r="A108" t="str">
            <v>CWB</v>
          </cell>
          <cell r="K108" t="str">
            <v>FRANCISCO ERINALDO DA SILVA CAMPOS</v>
          </cell>
        </row>
        <row r="109">
          <cell r="A109" t="str">
            <v>GRV</v>
          </cell>
          <cell r="K109" t="str">
            <v>FRANCISCO RODRIGUES</v>
          </cell>
        </row>
        <row r="110">
          <cell r="A110" t="str">
            <v>POA</v>
          </cell>
          <cell r="K110" t="str">
            <v>EDUARDO LUZ</v>
          </cell>
        </row>
        <row r="111">
          <cell r="A111" t="str">
            <v>ECG</v>
          </cell>
          <cell r="K111" t="str">
            <v>LIDIANE - TERCEIRO</v>
          </cell>
        </row>
        <row r="112">
          <cell r="A112" t="str">
            <v>GSD</v>
          </cell>
          <cell r="K112" t="str">
            <v>JAILSON PORTO</v>
          </cell>
        </row>
        <row r="113">
          <cell r="A113" t="str">
            <v>PS2</v>
          </cell>
          <cell r="K113" t="str">
            <v>JULIANA RODRIGUES LIMA</v>
          </cell>
        </row>
        <row r="114">
          <cell r="A114" t="str">
            <v>FOR</v>
          </cell>
          <cell r="K114" t="str">
            <v>FRANCISCO FRANY HELQUIAS MENDES ÁVILA</v>
          </cell>
        </row>
        <row r="115">
          <cell r="A115" t="str">
            <v>LDB</v>
          </cell>
          <cell r="K115" t="str">
            <v>FRANCISCO ERINALDO DA SILVA CAMPOS</v>
          </cell>
        </row>
        <row r="116">
          <cell r="A116" t="str">
            <v>PS1</v>
          </cell>
          <cell r="K116" t="str">
            <v>JULIANA RODRIGUES LIMA</v>
          </cell>
        </row>
        <row r="117">
          <cell r="A117" t="str">
            <v>MPN</v>
          </cell>
          <cell r="K117" t="str">
            <v>SANDRA SOUZA</v>
          </cell>
        </row>
        <row r="118">
          <cell r="A118" t="str">
            <v>GNS</v>
          </cell>
          <cell r="K118" t="str">
            <v>JAILSON PORTO</v>
          </cell>
        </row>
        <row r="119">
          <cell r="A119" t="str">
            <v>RDM</v>
          </cell>
          <cell r="K119" t="str">
            <v>MICHELE CRISTINA</v>
          </cell>
        </row>
        <row r="120">
          <cell r="A120" t="str">
            <v>CMS</v>
          </cell>
          <cell r="K120" t="str">
            <v>SANDRA SOUZA</v>
          </cell>
        </row>
        <row r="121">
          <cell r="A121" t="str">
            <v>PN2</v>
          </cell>
          <cell r="K121" t="str">
            <v>JULIANA RODRIGUES LIMA</v>
          </cell>
        </row>
        <row r="122">
          <cell r="A122" t="str">
            <v>JFO</v>
          </cell>
          <cell r="K122" t="str">
            <v>INGRID - TERCEIRO</v>
          </cell>
        </row>
        <row r="123">
          <cell r="A123" t="str">
            <v>MNS</v>
          </cell>
          <cell r="K123" t="str">
            <v>SANDRA SOUZA</v>
          </cell>
        </row>
        <row r="124">
          <cell r="A124" t="str">
            <v>MAD</v>
          </cell>
          <cell r="K124" t="str">
            <v>SANDRA SOUZA</v>
          </cell>
        </row>
        <row r="125">
          <cell r="A125" t="str">
            <v>REC</v>
          </cell>
          <cell r="K125" t="str">
            <v>OSVALDO FERREIRA NETO</v>
          </cell>
        </row>
        <row r="126">
          <cell r="A126" t="str">
            <v>BLS</v>
          </cell>
          <cell r="K126" t="str">
            <v>JHESSYKA SILVA</v>
          </cell>
        </row>
        <row r="127">
          <cell r="A127" t="str">
            <v>GOP</v>
          </cell>
          <cell r="K127" t="str">
            <v>JAILSON PORTO</v>
          </cell>
        </row>
        <row r="128">
          <cell r="A128" t="str">
            <v>JLS</v>
          </cell>
          <cell r="K128" t="str">
            <v>JHESSYKA SILVA</v>
          </cell>
        </row>
        <row r="129">
          <cell r="A129" t="str">
            <v>TNS</v>
          </cell>
          <cell r="K129" t="str">
            <v>EDUARDO MONTEIRO RODRIGUES DE SAL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ronograma"/>
      <sheetName val="Lojas a incluir"/>
      <sheetName val="Painel de Evolução"/>
      <sheetName val="PBMS E KS3000"/>
    </sheetNames>
    <sheetDataSet>
      <sheetData sheetId="0"/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jas"/>
      <sheetName val="Gannt"/>
      <sheetName val="Cronograma interno"/>
      <sheetName val="Controle de acesso fornecedor"/>
      <sheetName val="CronogramaView"/>
      <sheetName val="Calculo de evolução"/>
      <sheetName val="Atividades Fornecedor"/>
      <sheetName val="Histórico de evolução"/>
      <sheetName val="Dinamicas"/>
      <sheetName val="Documentação Fornecedor"/>
      <sheetName val="Cadastros"/>
      <sheetName val="Atividades de campo"/>
      <sheetName val="Ocorrências"/>
      <sheetName val="Quantidade de medições-Atual"/>
      <sheetName val="Quantidade de controles-At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116E-C45B-4A50-BC02-31B191A07C73}">
  <sheetPr codeName="Planilha1"/>
  <dimension ref="A1:E17"/>
  <sheetViews>
    <sheetView workbookViewId="0">
      <selection activeCell="B16" sqref="B16"/>
    </sheetView>
  </sheetViews>
  <sheetFormatPr defaultRowHeight="15" x14ac:dyDescent="0.25"/>
  <cols>
    <col min="1" max="1" width="29.42578125" customWidth="1"/>
    <col min="2" max="2" width="162.28515625" customWidth="1"/>
    <col min="5" max="5" width="14.42578125" bestFit="1" customWidth="1"/>
  </cols>
  <sheetData>
    <row r="1" spans="1:5" x14ac:dyDescent="0.25">
      <c r="A1" s="1" t="s">
        <v>15</v>
      </c>
      <c r="B1" s="1" t="s">
        <v>16</v>
      </c>
    </row>
    <row r="2" spans="1:5" x14ac:dyDescent="0.25">
      <c r="A2" t="s">
        <v>17</v>
      </c>
      <c r="B2" s="2" t="s">
        <v>68</v>
      </c>
      <c r="E2" t="s">
        <v>38</v>
      </c>
    </row>
    <row r="3" spans="1:5" x14ac:dyDescent="0.25">
      <c r="A3" t="s">
        <v>39</v>
      </c>
      <c r="B3" s="2" t="s">
        <v>69</v>
      </c>
    </row>
    <row r="4" spans="1:5" x14ac:dyDescent="0.25">
      <c r="A4" t="s">
        <v>40</v>
      </c>
      <c r="B4" s="2" t="s">
        <v>70</v>
      </c>
    </row>
    <row r="5" spans="1:5" x14ac:dyDescent="0.25">
      <c r="A5" t="s">
        <v>41</v>
      </c>
      <c r="B5" s="2" t="s">
        <v>44</v>
      </c>
    </row>
    <row r="6" spans="1:5" x14ac:dyDescent="0.25">
      <c r="A6" t="s">
        <v>19</v>
      </c>
      <c r="B6" s="2" t="s">
        <v>71</v>
      </c>
    </row>
    <row r="7" spans="1:5" x14ac:dyDescent="0.25">
      <c r="A7" t="s">
        <v>21</v>
      </c>
    </row>
    <row r="8" spans="1:5" x14ac:dyDescent="0.25">
      <c r="A8" t="s">
        <v>23</v>
      </c>
    </row>
    <row r="9" spans="1:5" ht="45" x14ac:dyDescent="0.25">
      <c r="A9" t="s">
        <v>25</v>
      </c>
      <c r="B9" s="2" t="s">
        <v>65</v>
      </c>
    </row>
    <row r="10" spans="1:5" ht="45" x14ac:dyDescent="0.25">
      <c r="A10" t="s">
        <v>63</v>
      </c>
      <c r="B10" s="2" t="s">
        <v>66</v>
      </c>
    </row>
    <row r="11" spans="1:5" ht="45" x14ac:dyDescent="0.25">
      <c r="A11" t="s">
        <v>64</v>
      </c>
      <c r="B11" s="2" t="s">
        <v>67</v>
      </c>
    </row>
    <row r="12" spans="1:5" x14ac:dyDescent="0.25">
      <c r="A12" t="s">
        <v>27</v>
      </c>
    </row>
    <row r="13" spans="1:5" x14ac:dyDescent="0.25">
      <c r="A13" t="s">
        <v>29</v>
      </c>
    </row>
    <row r="14" spans="1:5" x14ac:dyDescent="0.25">
      <c r="A14" t="s">
        <v>31</v>
      </c>
    </row>
    <row r="15" spans="1:5" x14ac:dyDescent="0.25">
      <c r="A15" t="s">
        <v>32</v>
      </c>
    </row>
    <row r="16" spans="1:5" x14ac:dyDescent="0.25">
      <c r="A16" t="s">
        <v>34</v>
      </c>
    </row>
    <row r="17" spans="1:1" x14ac:dyDescent="0.25">
      <c r="A17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FAA7A-59A6-4235-B6F9-9756B0BF089D}">
  <sheetPr codeName="Planilha2" filterMode="1"/>
  <dimension ref="A1:Q32"/>
  <sheetViews>
    <sheetView tabSelected="1" workbookViewId="0">
      <selection activeCell="C41" sqref="C41"/>
    </sheetView>
  </sheetViews>
  <sheetFormatPr defaultRowHeight="15" x14ac:dyDescent="0.25"/>
  <cols>
    <col min="2" max="2" width="12" customWidth="1"/>
    <col min="3" max="3" width="27.85546875" bestFit="1" customWidth="1"/>
    <col min="4" max="4" width="25.140625" bestFit="1" customWidth="1"/>
    <col min="5" max="5" width="15.42578125" bestFit="1" customWidth="1"/>
    <col min="6" max="6" width="57.5703125" bestFit="1" customWidth="1"/>
    <col min="7" max="7" width="23.85546875" bestFit="1" customWidth="1"/>
    <col min="8" max="8" width="23.85546875" customWidth="1"/>
    <col min="11" max="11" width="23.85546875" bestFit="1" customWidth="1"/>
    <col min="13" max="13" width="25.28515625" bestFit="1" customWidth="1"/>
    <col min="14" max="14" width="28.5703125" bestFit="1" customWidth="1"/>
    <col min="15" max="15" width="15.42578125" bestFit="1" customWidth="1"/>
    <col min="16" max="16" width="10.5703125" bestFit="1" customWidth="1"/>
    <col min="17" max="17" width="11" bestFit="1" customWidth="1"/>
  </cols>
  <sheetData>
    <row r="1" spans="1:17" x14ac:dyDescent="0.25">
      <c r="B1" t="s">
        <v>0</v>
      </c>
      <c r="C1" t="s">
        <v>12</v>
      </c>
      <c r="D1" t="s">
        <v>13</v>
      </c>
      <c r="E1" t="s">
        <v>14</v>
      </c>
      <c r="F1" t="s">
        <v>11</v>
      </c>
      <c r="G1" t="s">
        <v>1</v>
      </c>
      <c r="H1" t="s">
        <v>6</v>
      </c>
      <c r="K1" t="str" cm="1">
        <f t="array" ref="K1:K17">_xlfn.UNIQUE(G:G)</f>
        <v>TST Regional</v>
      </c>
      <c r="M1" t="s">
        <v>2</v>
      </c>
      <c r="N1" t="s">
        <v>3</v>
      </c>
      <c r="O1" t="s">
        <v>4</v>
      </c>
      <c r="P1" t="s">
        <v>5</v>
      </c>
      <c r="Q1" t="s">
        <v>6</v>
      </c>
    </row>
    <row r="2" spans="1:17" hidden="1" x14ac:dyDescent="0.25">
      <c r="B2" t="str" cm="1">
        <f t="array" ref="B2:B31">_xlfn._xlws.FILTER([2]!Cronograma1[Cod],[2]!Cronograma1[Status atual]&lt;&gt;"5 - Finalizada")</f>
        <v>RJB</v>
      </c>
      <c r="C2" t="str">
        <f>_xlfn.XLOOKUP(B2,[3]!Lojas[Sigla],[3]!Lojas[Nome Filial],"Não Encontrado")</f>
        <v>HIPER BARRA</v>
      </c>
      <c r="D2" t="str">
        <f>_xlfn.XLOOKUP(B2,[3]!Lojas[Sigla],[3]!Lojas[Cidade],"Não Encontrado")</f>
        <v>RIO DE JANEIRO</v>
      </c>
      <c r="E2" t="str">
        <f>_xlfn.XLOOKUP(B2,[3]!Lojas[Sigla],[3]!Lojas[Estado],"Não Encontrado")</f>
        <v>RJ</v>
      </c>
      <c r="F2" t="str" cm="1">
        <f t="array" ref="F2">_xlfn.XLOOKUP(B2,[3]!Lojas[Sigla],[3]!Lojas[Logradouro]&amp;", "&amp;[3]!Lojas[Número]&amp;", "&amp;[3]!Lojas[Cidade]&amp;", "&amp;[3]!Lojas[Estado],"Não Encontrado")</f>
        <v>AV. DAS AMERICAS, 5150, RIO DE JANEIRO, RJ</v>
      </c>
      <c r="G2" t="str">
        <f>_xlfn.XLOOKUP(B2,'[1]LOJAS AUTOMAÇÃO'!$A:$A,'[1]LOJAS AUTOMAÇÃO'!$K:$K,"Não encontrado")</f>
        <v>ELISABETH DA COSTA</v>
      </c>
      <c r="H2" t="str">
        <f>_xlfn.XLOOKUP(B2,[2]!Cronograma1[Cod],[2]!Cronograma1[Fornecedor],"Não Encontrado")</f>
        <v>TEG</v>
      </c>
      <c r="K2" t="str">
        <v>ELISABETH DA COSTA</v>
      </c>
      <c r="M2" t="s">
        <v>7</v>
      </c>
      <c r="N2" t="s">
        <v>8</v>
      </c>
      <c r="O2" t="s">
        <v>9</v>
      </c>
      <c r="Q2" t="s">
        <v>10</v>
      </c>
    </row>
    <row r="3" spans="1:17" hidden="1" x14ac:dyDescent="0.25">
      <c r="B3" t="str">
        <v>SPR</v>
      </c>
      <c r="C3" t="str">
        <f>_xlfn.XLOOKUP(B3,[3]!Lojas[Sigla],[3]!Lojas[Nome Filial],"Não Encontrado")</f>
        <v>HIPER ARICANDUVA</v>
      </c>
      <c r="D3" t="str">
        <f>_xlfn.XLOOKUP(B3,[3]!Lojas[Sigla],[3]!Lojas[Cidade],"Não Encontrado")</f>
        <v>SÃO PAULO</v>
      </c>
      <c r="E3" t="str">
        <f>_xlfn.XLOOKUP(B3,[3]!Lojas[Sigla],[3]!Lojas[Estado],"Não Encontrado")</f>
        <v>SP</v>
      </c>
      <c r="F3" t="str" cm="1">
        <f t="array" ref="F3">_xlfn.XLOOKUP(B3,[3]!Lojas[Sigla],[3]!Lojas[Logradouro]&amp;", "&amp;[3]!Lojas[Número]&amp;", "&amp;[3]!Lojas[Cidade]&amp;", "&amp;[3]!Lojas[Estado],"Não Encontrado")</f>
        <v>AV. RIO DAS PEDRAS, 555, SÃO PAULO, SP</v>
      </c>
      <c r="G3" t="str">
        <f>_xlfn.XLOOKUP(B3,'[1]LOJAS AUTOMAÇÃO'!$A:$A,'[1]LOJAS AUTOMAÇÃO'!$K:$K,"Não encontrado")</f>
        <v>GILDA PAES</v>
      </c>
      <c r="H3" t="str">
        <f>_xlfn.XLOOKUP(B3,[2]!Cronograma1[Cod],[2]!Cronograma1[Fornecedor],"Não Encontrado")</f>
        <v>-</v>
      </c>
      <c r="K3" t="str">
        <v>GILDA PAES</v>
      </c>
    </row>
    <row r="4" spans="1:17" hidden="1" x14ac:dyDescent="0.25">
      <c r="A4" t="s">
        <v>62</v>
      </c>
      <c r="B4" t="str">
        <v>SPL</v>
      </c>
      <c r="C4" t="str">
        <f>_xlfn.XLOOKUP(B4,[3]!Lojas[Sigla],[3]!Lojas[Nome Filial],"Não Encontrado")</f>
        <v>HIPER LIMAO</v>
      </c>
      <c r="D4" t="str">
        <f>_xlfn.XLOOKUP(B4,[3]!Lojas[Sigla],[3]!Lojas[Cidade],"Não Encontrado")</f>
        <v>SÃO PAULO</v>
      </c>
      <c r="E4" t="str">
        <f>_xlfn.XLOOKUP(B4,[3]!Lojas[Sigla],[3]!Lojas[Estado],"Não Encontrado")</f>
        <v>SP</v>
      </c>
      <c r="F4" t="str" cm="1">
        <f t="array" ref="F4">_xlfn.XLOOKUP(B4,[3]!Lojas[Sigla],[3]!Lojas[Logradouro]&amp;", "&amp;[3]!Lojas[Número]&amp;", "&amp;[3]!Lojas[Cidade]&amp;", "&amp;[3]!Lojas[Estado],"Não Encontrado")</f>
        <v>AV. PROFESSOR CELESTINO BOURROUL, 151, SÃO PAULO, SP</v>
      </c>
      <c r="G4" t="str">
        <f>_xlfn.XLOOKUP(B4,'[1]LOJAS AUTOMAÇÃO'!$A:$A,'[1]LOJAS AUTOMAÇÃO'!$K:$K,"Não encontrado")</f>
        <v>ANTONIO MONTEIRO</v>
      </c>
      <c r="H4" t="str">
        <f>_xlfn.XLOOKUP(B4,[2]!Cronograma1[Cod],[2]!Cronograma1[Fornecedor],"Não Encontrado")</f>
        <v>-</v>
      </c>
      <c r="K4" t="str">
        <v>ANTONIO MONTEIRO</v>
      </c>
    </row>
    <row r="5" spans="1:17" hidden="1" x14ac:dyDescent="0.25">
      <c r="A5" t="s">
        <v>62</v>
      </c>
      <c r="B5" t="str">
        <v>BSP</v>
      </c>
      <c r="C5" t="str">
        <f>_xlfn.XLOOKUP(B5,[3]!Lojas[Sigla],[3]!Lojas[Nome Filial],"Não Encontrado")</f>
        <v>HIPER SANTOS PRAIAMAR</v>
      </c>
      <c r="D5" t="str">
        <f>_xlfn.XLOOKUP(B5,[3]!Lojas[Sigla],[3]!Lojas[Cidade],"Não Encontrado")</f>
        <v>SANTOS</v>
      </c>
      <c r="E5" t="str">
        <f>_xlfn.XLOOKUP(B5,[3]!Lojas[Sigla],[3]!Lojas[Estado],"Não Encontrado")</f>
        <v>SP</v>
      </c>
      <c r="F5" t="str" cm="1">
        <f t="array" ref="F5">_xlfn.XLOOKUP(B5,[3]!Lojas[Sigla],[3]!Lojas[Logradouro]&amp;", "&amp;[3]!Lojas[Número]&amp;", "&amp;[3]!Lojas[Cidade]&amp;", "&amp;[3]!Lojas[Estado],"Não Encontrado")</f>
        <v>AV. ALEXANDRE MARTINS, 80, SANTOS, SP</v>
      </c>
      <c r="G5" t="str">
        <f>_xlfn.XLOOKUP(B5,'[1]LOJAS AUTOMAÇÃO'!$A:$A,'[1]LOJAS AUTOMAÇÃO'!$K:$K,"Não encontrado")</f>
        <v>WARLEY ALMEIDA</v>
      </c>
      <c r="H5" t="str">
        <f>_xlfn.XLOOKUP(B5,[2]!Cronograma1[Cod],[2]!Cronograma1[Fornecedor],"Não Encontrado")</f>
        <v>DEFFER</v>
      </c>
      <c r="K5" t="str">
        <v>WARLEY ALMEIDA</v>
      </c>
    </row>
    <row r="6" spans="1:17" hidden="1" x14ac:dyDescent="0.25">
      <c r="B6" t="str">
        <v>CNT</v>
      </c>
      <c r="C6" t="str">
        <f>_xlfn.XLOOKUP(B6,[3]!Lojas[Sigla],[3]!Lojas[Nome Filial],"Não Encontrado")</f>
        <v>SUPER INTERLAGOS</v>
      </c>
      <c r="D6" t="str">
        <f>_xlfn.XLOOKUP(B6,[3]!Lojas[Sigla],[3]!Lojas[Cidade],"Não Encontrado")</f>
        <v>SÃO PAULO</v>
      </c>
      <c r="E6" t="str">
        <f>_xlfn.XLOOKUP(B6,[3]!Lojas[Sigla],[3]!Lojas[Estado],"Não Encontrado")</f>
        <v>SP</v>
      </c>
      <c r="F6" t="str" cm="1">
        <f t="array" ref="F6">_xlfn.XLOOKUP(B6,[3]!Lojas[Sigla],[3]!Lojas[Logradouro]&amp;", "&amp;[3]!Lojas[Número]&amp;", "&amp;[3]!Lojas[Cidade]&amp;", "&amp;[3]!Lojas[Estado],"Não Encontrado")</f>
        <v>AV. INTERLAGOS, 5800, SÃO PAULO, SP</v>
      </c>
      <c r="G6" t="str">
        <f>_xlfn.XLOOKUP(B6,'[1]LOJAS AUTOMAÇÃO'!$A:$A,'[1]LOJAS AUTOMAÇÃO'!$K:$K,"Não encontrado")</f>
        <v>NATALIA DELGADO</v>
      </c>
      <c r="H6" t="str">
        <f>_xlfn.XLOOKUP(B6,[2]!Cronograma1[Cod],[2]!Cronograma1[Fornecedor],"Não Encontrado")</f>
        <v>TEG</v>
      </c>
      <c r="K6" t="str">
        <v>NATALIA DELGADO</v>
      </c>
    </row>
    <row r="7" spans="1:17" hidden="1" x14ac:dyDescent="0.25">
      <c r="B7" t="str">
        <v>SPG</v>
      </c>
      <c r="C7" t="str">
        <f>_xlfn.XLOOKUP(B7,[3]!Lojas[Sigla],[3]!Lojas[Nome Filial],"Não Encontrado")</f>
        <v>HIPER GIOVANI GRONCHI</v>
      </c>
      <c r="D7" t="str">
        <f>_xlfn.XLOOKUP(B7,[3]!Lojas[Sigla],[3]!Lojas[Cidade],"Não Encontrado")</f>
        <v>SÃO PAULO</v>
      </c>
      <c r="E7" t="str">
        <f>_xlfn.XLOOKUP(B7,[3]!Lojas[Sigla],[3]!Lojas[Estado],"Não Encontrado")</f>
        <v>SP</v>
      </c>
      <c r="F7" t="str" cm="1">
        <f t="array" ref="F7">_xlfn.XLOOKUP(B7,[3]!Lojas[Sigla],[3]!Lojas[Logradouro]&amp;", "&amp;[3]!Lojas[Número]&amp;", "&amp;[3]!Lojas[Cidade]&amp;", "&amp;[3]!Lojas[Estado],"Não Encontrado")</f>
        <v>AV.ALBERTO AUGUSTO ALVES, 50, SÃO PAULO, SP</v>
      </c>
      <c r="G7" t="str">
        <f>_xlfn.XLOOKUP(B7,'[1]LOJAS AUTOMAÇÃO'!$A:$A,'[1]LOJAS AUTOMAÇÃO'!$K:$K,"Não encontrado")</f>
        <v>NATALIA DELGADO</v>
      </c>
      <c r="H7" t="str">
        <f>_xlfn.XLOOKUP(B7,[2]!Cronograma1[Cod],[2]!Cronograma1[Fornecedor],"Não Encontrado")</f>
        <v>TEG</v>
      </c>
      <c r="K7" t="str">
        <v>CAMILA AVANÇO</v>
      </c>
    </row>
    <row r="8" spans="1:17" hidden="1" x14ac:dyDescent="0.25">
      <c r="A8" t="s">
        <v>62</v>
      </c>
      <c r="B8" t="str">
        <v>CPS</v>
      </c>
      <c r="C8" t="str">
        <f>_xlfn.XLOOKUP(B8,[3]!Lojas[Sigla],[3]!Lojas[Nome Filial],"Não Encontrado")</f>
        <v>HIPER CAMPINAS D. PEDRO</v>
      </c>
      <c r="D8" t="str">
        <f>_xlfn.XLOOKUP(B8,[3]!Lojas[Sigla],[3]!Lojas[Cidade],"Não Encontrado")</f>
        <v>CAMPINAS</v>
      </c>
      <c r="E8" t="str">
        <f>_xlfn.XLOOKUP(B8,[3]!Lojas[Sigla],[3]!Lojas[Estado],"Não Encontrado")</f>
        <v>SP</v>
      </c>
      <c r="F8" t="str" cm="1">
        <f t="array" ref="F8">_xlfn.XLOOKUP(B8,[3]!Lojas[Sigla],[3]!Lojas[Logradouro]&amp;", "&amp;[3]!Lojas[Número]&amp;", "&amp;[3]!Lojas[Cidade]&amp;", "&amp;[3]!Lojas[Estado],"Não Encontrado")</f>
        <v>ROD. DOM PEDRO I, S/N, CAMPINAS, SP</v>
      </c>
      <c r="G8" t="str">
        <f>_xlfn.XLOOKUP(B8,'[1]LOJAS AUTOMAÇÃO'!$A:$A,'[1]LOJAS AUTOMAÇÃO'!$K:$K,"Não encontrado")</f>
        <v>CAMILA AVANÇO</v>
      </c>
      <c r="H8" t="str">
        <f>_xlfn.XLOOKUP(B8,[2]!Cronograma1[Cod],[2]!Cronograma1[Fornecedor],"Não Encontrado")</f>
        <v>DEFFER</v>
      </c>
      <c r="K8" t="str">
        <v>MARIA LUIZA DOS SANTOS</v>
      </c>
    </row>
    <row r="9" spans="1:17" hidden="1" x14ac:dyDescent="0.25">
      <c r="B9" t="str">
        <v>RAS</v>
      </c>
      <c r="C9" t="str">
        <f>_xlfn.XLOOKUP(B9,[3]!Lojas[Sigla],[3]!Lojas[Nome Filial],"Não Encontrado")</f>
        <v>SAM´S RIO L. AMARELA</v>
      </c>
      <c r="D9" t="str">
        <f>_xlfn.XLOOKUP(B9,[3]!Lojas[Sigla],[3]!Lojas[Cidade],"Não Encontrado")</f>
        <v>RIO DE JANEIRO</v>
      </c>
      <c r="E9" t="str">
        <f>_xlfn.XLOOKUP(B9,[3]!Lojas[Sigla],[3]!Lojas[Estado],"Não Encontrado")</f>
        <v>RJ</v>
      </c>
      <c r="F9" t="str" cm="1">
        <f t="array" ref="F9">_xlfn.XLOOKUP(B9,[3]!Lojas[Sigla],[3]!Lojas[Logradouro]&amp;", "&amp;[3]!Lojas[Número]&amp;", "&amp;[3]!Lojas[Cidade]&amp;", "&amp;[3]!Lojas[Estado],"Não Encontrado")</f>
        <v>PROJETADA, 345, RIO DE JANEIRO, RJ</v>
      </c>
      <c r="G9" t="str">
        <f>_xlfn.XLOOKUP(B9,'[1]LOJAS AUTOMAÇÃO'!$A:$A,'[1]LOJAS AUTOMAÇÃO'!$K:$K,"Não encontrado")</f>
        <v>MARIA LUIZA DOS SANTOS</v>
      </c>
      <c r="H9" t="str">
        <f>_xlfn.XLOOKUP(B9,[2]!Cronograma1[Cod],[2]!Cronograma1[Fornecedor],"Não Encontrado")</f>
        <v>TEG</v>
      </c>
      <c r="K9" t="str">
        <v>LEONARDO OLIVEIRA</v>
      </c>
    </row>
    <row r="10" spans="1:17" hidden="1" x14ac:dyDescent="0.25">
      <c r="B10" t="str">
        <v>BHC</v>
      </c>
      <c r="C10" t="str">
        <f>_xlfn.XLOOKUP(B10,[3]!Lojas[Sigla],[3]!Lojas[Nome Filial],"Não Encontrado")</f>
        <v>HIPER CONTAGEM</v>
      </c>
      <c r="D10" t="str">
        <f>_xlfn.XLOOKUP(B10,[3]!Lojas[Sigla],[3]!Lojas[Cidade],"Não Encontrado")</f>
        <v>CONTAGEM</v>
      </c>
      <c r="E10" t="str">
        <f>_xlfn.XLOOKUP(B10,[3]!Lojas[Sigla],[3]!Lojas[Estado],"Não Encontrado")</f>
        <v>MG</v>
      </c>
      <c r="F10" t="str" cm="1">
        <f t="array" ref="F10">_xlfn.XLOOKUP(B10,[3]!Lojas[Sigla],[3]!Lojas[Logradouro]&amp;", "&amp;[3]!Lojas[Número]&amp;", "&amp;[3]!Lojas[Cidade]&amp;", "&amp;[3]!Lojas[Estado],"Não Encontrado")</f>
        <v>ROD. FERNÃO DIAS BR 381, 3000, CONTAGEM, MG</v>
      </c>
      <c r="G10" t="str">
        <f>_xlfn.XLOOKUP(B10,'[1]LOJAS AUTOMAÇÃO'!$A:$A,'[1]LOJAS AUTOMAÇÃO'!$K:$K,"Não encontrado")</f>
        <v>LEONARDO OLIVEIRA</v>
      </c>
      <c r="H10" t="str">
        <f>_xlfn.XLOOKUP(B10,[2]!Cronograma1[Cod],[2]!Cronograma1[Fornecedor],"Não Encontrado")</f>
        <v>TEG</v>
      </c>
      <c r="K10" t="str">
        <v>CARLA GARITO SOUZA</v>
      </c>
    </row>
    <row r="11" spans="1:17" hidden="1" x14ac:dyDescent="0.25">
      <c r="B11" t="str">
        <v>BHP</v>
      </c>
      <c r="C11" t="str">
        <f>_xlfn.XLOOKUP(B11,[3]!Lojas[Sigla],[3]!Lojas[Nome Filial],"Não Encontrado")</f>
        <v>HIPER PAMPULHA</v>
      </c>
      <c r="D11" t="str">
        <f>_xlfn.XLOOKUP(B11,[3]!Lojas[Sigla],[3]!Lojas[Cidade],"Não Encontrado")</f>
        <v>BELO HORIZONTE</v>
      </c>
      <c r="E11" t="str">
        <f>_xlfn.XLOOKUP(B11,[3]!Lojas[Sigla],[3]!Lojas[Estado],"Não Encontrado")</f>
        <v>MG</v>
      </c>
      <c r="F11" t="str" cm="1">
        <f t="array" ref="F11">_xlfn.XLOOKUP(B11,[3]!Lojas[Sigla],[3]!Lojas[Logradouro]&amp;", "&amp;[3]!Lojas[Número]&amp;", "&amp;[3]!Lojas[Cidade]&amp;", "&amp;[3]!Lojas[Estado],"Não Encontrado")</f>
        <v>AV. PRESIDENTE CARLOS LUZ, 4055, BELO HORIZONTE, MG</v>
      </c>
      <c r="G11" t="str">
        <f>_xlfn.XLOOKUP(B11,'[1]LOJAS AUTOMAÇÃO'!$A:$A,'[1]LOJAS AUTOMAÇÃO'!$K:$K,"Não encontrado")</f>
        <v>CARLA GARITO SOUZA</v>
      </c>
      <c r="H11" t="str">
        <f>_xlfn.XLOOKUP(B11,[2]!Cronograma1[Cod],[2]!Cronograma1[Fornecedor],"Não Encontrado")</f>
        <v>TEG</v>
      </c>
      <c r="K11" t="str">
        <v>DENIS DUBOVICKI</v>
      </c>
    </row>
    <row r="12" spans="1:17" hidden="1" x14ac:dyDescent="0.25">
      <c r="B12" t="str">
        <v>CAS</v>
      </c>
      <c r="C12" t="str">
        <f>_xlfn.XLOOKUP(B12,[3]!Lojas[Sigla],[3]!Lojas[Nome Filial],"Não Encontrado")</f>
        <v>SAM´S CAMPINAS</v>
      </c>
      <c r="D12" t="str">
        <f>_xlfn.XLOOKUP(B12,[3]!Lojas[Sigla],[3]!Lojas[Cidade],"Não Encontrado")</f>
        <v>CAMPINAS</v>
      </c>
      <c r="E12" t="str">
        <f>_xlfn.XLOOKUP(B12,[3]!Lojas[Sigla],[3]!Lojas[Estado],"Não Encontrado")</f>
        <v>SP</v>
      </c>
      <c r="F12" t="str" cm="1">
        <f t="array" ref="F12">_xlfn.XLOOKUP(B12,[3]!Lojas[Sigla],[3]!Lojas[Logradouro]&amp;", "&amp;[3]!Lojas[Número]&amp;", "&amp;[3]!Lojas[Cidade]&amp;", "&amp;[3]!Lojas[Estado],"Não Encontrado")</f>
        <v>RODOVIA DOM PEDRO I, KM 132, CAMPINAS, SP</v>
      </c>
      <c r="G12" t="str">
        <f>_xlfn.XLOOKUP(B12,'[1]LOJAS AUTOMAÇÃO'!$A:$A,'[1]LOJAS AUTOMAÇÃO'!$K:$K,"Não encontrado")</f>
        <v>DENIS DUBOVICKI</v>
      </c>
      <c r="H12" t="str">
        <f>_xlfn.XLOOKUP(B12,[2]!Cronograma1[Cod],[2]!Cronograma1[Fornecedor],"Não Encontrado")</f>
        <v>Luminae</v>
      </c>
      <c r="K12" t="str">
        <v>MATEUS RAYMUNDO</v>
      </c>
    </row>
    <row r="13" spans="1:17" hidden="1" x14ac:dyDescent="0.25">
      <c r="A13" t="s">
        <v>62</v>
      </c>
      <c r="B13" t="str">
        <v>SOR</v>
      </c>
      <c r="C13" t="str">
        <f>_xlfn.XLOOKUP(B13,[3]!Lojas[Sigla],[3]!Lojas[Nome Filial],"Não Encontrado")</f>
        <v>HIPER SOROCABA</v>
      </c>
      <c r="D13" t="str">
        <f>_xlfn.XLOOKUP(B13,[3]!Lojas[Sigla],[3]!Lojas[Cidade],"Não Encontrado")</f>
        <v>VOTORANTIM</v>
      </c>
      <c r="E13" t="str">
        <f>_xlfn.XLOOKUP(B13,[3]!Lojas[Sigla],[3]!Lojas[Estado],"Não Encontrado")</f>
        <v>SP</v>
      </c>
      <c r="F13" t="str" cm="1">
        <f t="array" ref="F13">_xlfn.XLOOKUP(B13,[3]!Lojas[Sigla],[3]!Lojas[Logradouro]&amp;", "&amp;[3]!Lojas[Número]&amp;", "&amp;[3]!Lojas[Cidade]&amp;", "&amp;[3]!Lojas[Estado],"Não Encontrado")</f>
        <v>AV. GISELE CONSTANTINO, 1870, VOTORANTIM, SP</v>
      </c>
      <c r="G13" t="str">
        <f>_xlfn.XLOOKUP(B13,'[1]LOJAS AUTOMAÇÃO'!$A:$A,'[1]LOJAS AUTOMAÇÃO'!$K:$K,"Não encontrado")</f>
        <v>DENIS DUBOVICKI</v>
      </c>
      <c r="H13" t="str">
        <f>_xlfn.XLOOKUP(B13,[2]!Cronograma1[Cod],[2]!Cronograma1[Fornecedor],"Não Encontrado")</f>
        <v>DEFFER</v>
      </c>
      <c r="K13" t="str">
        <v>JESSE SILVA</v>
      </c>
    </row>
    <row r="14" spans="1:17" hidden="1" x14ac:dyDescent="0.25">
      <c r="A14" t="s">
        <v>62</v>
      </c>
      <c r="B14" t="str">
        <v>GSC</v>
      </c>
      <c r="C14" t="str">
        <f>_xlfn.XLOOKUP(B14,[3]!Lojas[Sigla],[3]!Lojas[Nome Filial],"Não Encontrado")</f>
        <v>SUPER VILA COSTA</v>
      </c>
      <c r="D14" t="str">
        <f>_xlfn.XLOOKUP(B14,[3]!Lojas[Sigla],[3]!Lojas[Cidade],"Não Encontrado")</f>
        <v>SÃO CARLOS</v>
      </c>
      <c r="E14" t="str">
        <f>_xlfn.XLOOKUP(B14,[3]!Lojas[Sigla],[3]!Lojas[Estado],"Não Encontrado")</f>
        <v>SP</v>
      </c>
      <c r="F14" t="str" cm="1">
        <f t="array" ref="F14">_xlfn.XLOOKUP(B14,[3]!Lojas[Sigla],[3]!Lojas[Logradouro]&amp;", "&amp;[3]!Lojas[Número]&amp;", "&amp;[3]!Lojas[Cidade]&amp;", "&amp;[3]!Lojas[Estado],"Não Encontrado")</f>
        <v>AV. SAO CARLOS, 3594, SÃO CARLOS, SP</v>
      </c>
      <c r="G14" t="str">
        <f>_xlfn.XLOOKUP(B14,'[1]LOJAS AUTOMAÇÃO'!$A:$A,'[1]LOJAS AUTOMAÇÃO'!$K:$K,"Não encontrado")</f>
        <v>MATEUS RAYMUNDO</v>
      </c>
      <c r="H14" t="str">
        <f>_xlfn.XLOOKUP(B14,[2]!Cronograma1[Cod],[2]!Cronograma1[Fornecedor],"Não Encontrado")</f>
        <v>Luminae</v>
      </c>
      <c r="K14" t="str">
        <v>NADJA</v>
      </c>
    </row>
    <row r="15" spans="1:17" hidden="1" x14ac:dyDescent="0.25">
      <c r="A15" t="s">
        <v>62</v>
      </c>
      <c r="B15" t="str">
        <v>CAL</v>
      </c>
      <c r="C15" t="str">
        <f>_xlfn.XLOOKUP(B15,[3]!Lojas[Sigla],[3]!Lojas[Nome Filial],"Não Encontrado")</f>
        <v>HIPER ALCANTARA</v>
      </c>
      <c r="D15" t="str">
        <f>_xlfn.XLOOKUP(B15,[3]!Lojas[Sigla],[3]!Lojas[Cidade],"Não Encontrado")</f>
        <v>SÃO GONÇALO</v>
      </c>
      <c r="E15" t="str">
        <f>_xlfn.XLOOKUP(B15,[3]!Lojas[Sigla],[3]!Lojas[Estado],"Não Encontrado")</f>
        <v>RJ</v>
      </c>
      <c r="F15" t="str" cm="1">
        <f t="array" ref="F15">_xlfn.XLOOKUP(B15,[3]!Lojas[Sigla],[3]!Lojas[Logradouro]&amp;", "&amp;[3]!Lojas[Número]&amp;", "&amp;[3]!Lojas[Cidade]&amp;", "&amp;[3]!Lojas[Estado],"Não Encontrado")</f>
        <v>RUA DR ALFREDO BACKER, 500, SÃO GONÇALO, RJ</v>
      </c>
      <c r="G15" t="str">
        <f>_xlfn.XLOOKUP(B15,'[1]LOJAS AUTOMAÇÃO'!$A:$A,'[1]LOJAS AUTOMAÇÃO'!$K:$K,"Não encontrado")</f>
        <v>MARIA LUIZA DOS SANTOS</v>
      </c>
      <c r="H15" t="str">
        <f>_xlfn.XLOOKUP(B15,[2]!Cronograma1[Cod],[2]!Cronograma1[Fornecedor],"Não Encontrado")</f>
        <v>TEG</v>
      </c>
      <c r="K15" t="str">
        <v>CLAUDIA ALEM</v>
      </c>
    </row>
    <row r="16" spans="1:17" hidden="1" x14ac:dyDescent="0.25">
      <c r="B16" t="str">
        <v>RJJ</v>
      </c>
      <c r="C16" t="str">
        <f>_xlfn.XLOOKUP(B16,[3]!Lojas[Sigla],[3]!Lojas[Nome Filial],"Não Encontrado")</f>
        <v>HIPER SULACAP</v>
      </c>
      <c r="D16" t="str">
        <f>_xlfn.XLOOKUP(B16,[3]!Lojas[Sigla],[3]!Lojas[Cidade],"Não Encontrado")</f>
        <v>RIO DE JANEIRO</v>
      </c>
      <c r="E16" t="str">
        <f>_xlfn.XLOOKUP(B16,[3]!Lojas[Sigla],[3]!Lojas[Estado],"Não Encontrado")</f>
        <v>RJ</v>
      </c>
      <c r="F16" t="str" cm="1">
        <f t="array" ref="F16">_xlfn.XLOOKUP(B16,[3]!Lojas[Sigla],[3]!Lojas[Logradouro]&amp;", "&amp;[3]!Lojas[Número]&amp;", "&amp;[3]!Lojas[Cidade]&amp;", "&amp;[3]!Lojas[Estado],"Não Encontrado")</f>
        <v>AV. MARECHAL FONTENELE, 3555, RIO DE JANEIRO, RJ</v>
      </c>
      <c r="G16" t="str">
        <f>_xlfn.XLOOKUP(B16,'[1]LOJAS AUTOMAÇÃO'!$A:$A,'[1]LOJAS AUTOMAÇÃO'!$K:$K,"Não encontrado")</f>
        <v>MARIA LUIZA DOS SANTOS</v>
      </c>
      <c r="H16" t="str">
        <f>_xlfn.XLOOKUP(B16,[2]!Cronograma1[Cod],[2]!Cronograma1[Fornecedor],"Não Encontrado")</f>
        <v>TEG</v>
      </c>
      <c r="K16">
        <v>0</v>
      </c>
    </row>
    <row r="17" spans="1:11" x14ac:dyDescent="0.25">
      <c r="B17" t="str">
        <v>SPA</v>
      </c>
      <c r="C17" t="str">
        <f>_xlfn.XLOOKUP(B17,[3]!Lojas[Sigla],[3]!Lojas[Nome Filial],"Não Encontrado")</f>
        <v>HIPER ANCHIETA</v>
      </c>
      <c r="D17" t="str">
        <f>_xlfn.XLOOKUP(B17,[3]!Lojas[Sigla],[3]!Lojas[Cidade],"Não Encontrado")</f>
        <v>SÃO PAULO</v>
      </c>
      <c r="E17" t="str">
        <f>_xlfn.XLOOKUP(B17,[3]!Lojas[Sigla],[3]!Lojas[Estado],"Não Encontrado")</f>
        <v>SP</v>
      </c>
      <c r="F17" t="str" cm="1">
        <f t="array" ref="F17">_xlfn.XLOOKUP(B17,[3]!Lojas[Sigla],[3]!Lojas[Logradouro]&amp;", "&amp;[3]!Lojas[Número]&amp;", "&amp;[3]!Lojas[Cidade]&amp;", "&amp;[3]!Lojas[Estado],"Não Encontrado")</f>
        <v>VIA ANCHIETA, 3398, SÃO PAULO, SP</v>
      </c>
      <c r="G17" t="str">
        <f>_xlfn.XLOOKUP(B17,'[1]LOJAS AUTOMAÇÃO'!$A:$A,'[1]LOJAS AUTOMAÇÃO'!$K:$K,"Não encontrado")</f>
        <v>JESSE SILVA</v>
      </c>
      <c r="H17" t="str">
        <f>_xlfn.XLOOKUP(B17,[2]!Cronograma1[Cod],[2]!Cronograma1[Fornecedor],"Não Encontrado")</f>
        <v>TEG</v>
      </c>
      <c r="K17">
        <v>0</v>
      </c>
    </row>
    <row r="18" spans="1:11" hidden="1" x14ac:dyDescent="0.25">
      <c r="B18" t="str">
        <v>EST (SAN)</v>
      </c>
      <c r="C18" t="str">
        <f>_xlfn.XLOOKUP(B18,[3]!Lojas[Sigla],[3]!Lojas[Nome Filial],"Não Encontrado")</f>
        <v>HIPER SANTOS</v>
      </c>
      <c r="D18" t="str">
        <f>_xlfn.XLOOKUP(B18,[3]!Lojas[Sigla],[3]!Lojas[Cidade],"Não Encontrado")</f>
        <v>SANTOS</v>
      </c>
      <c r="E18" t="str">
        <f>_xlfn.XLOOKUP(B18,[3]!Lojas[Sigla],[3]!Lojas[Estado],"Não Encontrado")</f>
        <v>SP</v>
      </c>
      <c r="F18" t="str" cm="1">
        <f t="array" ref="F18">_xlfn.XLOOKUP(B18,[3]!Lojas[Sigla],[3]!Lojas[Logradouro]&amp;", "&amp;[3]!Lojas[Número]&amp;", "&amp;[3]!Lojas[Cidade]&amp;", "&amp;[3]!Lojas[Estado],"Não Encontrado")</f>
        <v>AV. CONSELHEIRO NEBIAS, 802, SANTOS, SP</v>
      </c>
      <c r="G18" t="str">
        <f>_xlfn.XLOOKUP(B18,'[1]LOJAS AUTOMAÇÃO'!$A:$A,'[1]LOJAS AUTOMAÇÃO'!$K:$K,"Não encontrado")</f>
        <v>WARLEY ALMEIDA</v>
      </c>
      <c r="H18" t="str">
        <f>_xlfn.XLOOKUP(B18,[2]!Cronograma1[Cod],[2]!Cronograma1[Fornecedor],"Não Encontrado")</f>
        <v>Luminae</v>
      </c>
    </row>
    <row r="19" spans="1:11" hidden="1" x14ac:dyDescent="0.25">
      <c r="A19" t="s">
        <v>62</v>
      </c>
      <c r="B19" t="str">
        <v>SPT</v>
      </c>
      <c r="C19" t="str">
        <f>_xlfn.XLOOKUP(B19,[3]!Lojas[Sigla],[3]!Lojas[Nome Filial],"Não Encontrado")</f>
        <v>HIPER TIETE</v>
      </c>
      <c r="D19" t="str">
        <f>_xlfn.XLOOKUP(B19,[3]!Lojas[Sigla],[3]!Lojas[Cidade],"Não Encontrado")</f>
        <v>SÃO PAULO</v>
      </c>
      <c r="E19" t="str">
        <f>_xlfn.XLOOKUP(B19,[3]!Lojas[Sigla],[3]!Lojas[Estado],"Não Encontrado")</f>
        <v>SP</v>
      </c>
      <c r="F19" t="str" cm="1">
        <f t="array" ref="F19">_xlfn.XLOOKUP(B19,[3]!Lojas[Sigla],[3]!Lojas[Logradouro]&amp;", "&amp;[3]!Lojas[Número]&amp;", "&amp;[3]!Lojas[Cidade]&amp;", "&amp;[3]!Lojas[Estado],"Não Encontrado")</f>
        <v>AV. MORVAN D. DE FIGUEIREDO, 3177, SÃO PAULO, SP</v>
      </c>
      <c r="G19" t="str">
        <f>_xlfn.XLOOKUP(B19,'[1]LOJAS AUTOMAÇÃO'!$A:$A,'[1]LOJAS AUTOMAÇÃO'!$K:$K,"Não encontrado")</f>
        <v>NADJA</v>
      </c>
      <c r="H19" t="str">
        <f>_xlfn.XLOOKUP(B19,[2]!Cronograma1[Cod],[2]!Cronograma1[Fornecedor],"Não Encontrado")</f>
        <v>Luminae</v>
      </c>
    </row>
    <row r="20" spans="1:11" hidden="1" x14ac:dyDescent="0.25">
      <c r="B20" t="str">
        <v>ECP</v>
      </c>
      <c r="C20" t="str">
        <f>_xlfn.XLOOKUP(B20,[3]!Lojas[Sigla],[3]!Lojas[Nome Filial],"Não Encontrado")</f>
        <v>HIPER CAMPINAS</v>
      </c>
      <c r="D20" t="str">
        <f>_xlfn.XLOOKUP(B20,[3]!Lojas[Sigla],[3]!Lojas[Cidade],"Não Encontrado")</f>
        <v>CAMPINAS</v>
      </c>
      <c r="E20" t="str">
        <f>_xlfn.XLOOKUP(B20,[3]!Lojas[Sigla],[3]!Lojas[Estado],"Não Encontrado")</f>
        <v>SP</v>
      </c>
      <c r="F20" t="str" cm="1">
        <f t="array" ref="F20">_xlfn.XLOOKUP(B20,[3]!Lojas[Sigla],[3]!Lojas[Logradouro]&amp;", "&amp;[3]!Lojas[Número]&amp;", "&amp;[3]!Lojas[Cidade]&amp;", "&amp;[3]!Lojas[Estado],"Não Encontrado")</f>
        <v>AV. PROJETADA, S/N, CAMPINAS, SP</v>
      </c>
      <c r="G20" t="str">
        <f>_xlfn.XLOOKUP(B20,'[1]LOJAS AUTOMAÇÃO'!$A:$A,'[1]LOJAS AUTOMAÇÃO'!$K:$K,"Não encontrado")</f>
        <v>DENIS DUBOVICKI</v>
      </c>
      <c r="H20" t="str">
        <f>_xlfn.XLOOKUP(B20,[2]!Cronograma1[Cod],[2]!Cronograma1[Fornecedor],"Não Encontrado")</f>
        <v>DEFFER</v>
      </c>
    </row>
    <row r="21" spans="1:11" hidden="1" x14ac:dyDescent="0.25">
      <c r="A21" t="s">
        <v>62</v>
      </c>
      <c r="B21" t="str">
        <v>JCS</v>
      </c>
      <c r="C21" t="str">
        <f>_xlfn.XLOOKUP(B21,[3]!Lojas[Sigla],[3]!Lojas[Nome Filial],"Não Encontrado")</f>
        <v>SAM´S S.J. DOS CAMPOS</v>
      </c>
      <c r="D21" t="str">
        <f>_xlfn.XLOOKUP(B21,[3]!Lojas[Sigla],[3]!Lojas[Cidade],"Não Encontrado")</f>
        <v>SÃO JOSÉ DOS CAMPOS</v>
      </c>
      <c r="E21" t="str">
        <f>_xlfn.XLOOKUP(B21,[3]!Lojas[Sigla],[3]!Lojas[Estado],"Não Encontrado")</f>
        <v>SP</v>
      </c>
      <c r="F21" t="str" cm="1">
        <f t="array" ref="F21">_xlfn.XLOOKUP(B21,[3]!Lojas[Sigla],[3]!Lojas[Logradouro]&amp;", "&amp;[3]!Lojas[Número]&amp;", "&amp;[3]!Lojas[Cidade]&amp;", "&amp;[3]!Lojas[Estado],"Não Encontrado")</f>
        <v>AV.CASSIANO RICARDO, 1993, SÃO JOSÉ DOS CAMPOS, SP</v>
      </c>
      <c r="G21" t="str">
        <f>_xlfn.XLOOKUP(B21,'[1]LOJAS AUTOMAÇÃO'!$A:$A,'[1]LOJAS AUTOMAÇÃO'!$K:$K,"Não encontrado")</f>
        <v>CLAUDIA ALEM</v>
      </c>
      <c r="H21" t="str">
        <f>_xlfn.XLOOKUP(B21,[2]!Cronograma1[Cod],[2]!Cronograma1[Fornecedor],"Não Encontrado")</f>
        <v>Luminae</v>
      </c>
    </row>
    <row r="22" spans="1:11" hidden="1" x14ac:dyDescent="0.25">
      <c r="A22" t="s">
        <v>62</v>
      </c>
      <c r="B22" t="str">
        <v>CRB</v>
      </c>
      <c r="C22" t="str">
        <f>_xlfn.XLOOKUP(B22,[3]!Lojas[Sigla],[3]!Lojas[Nome Filial],"Não Encontrado")</f>
        <v>SUPER RUI BARBOSA</v>
      </c>
      <c r="D22" t="str">
        <f>_xlfn.XLOOKUP(B22,[3]!Lojas[Sigla],[3]!Lojas[Cidade],"Não Encontrado")</f>
        <v>RIBEIRÃO PRETO</v>
      </c>
      <c r="E22" t="str">
        <f>_xlfn.XLOOKUP(B22,[3]!Lojas[Sigla],[3]!Lojas[Estado],"Não Encontrado")</f>
        <v>SP</v>
      </c>
      <c r="F22" t="str" cm="1">
        <f t="array" ref="F22">_xlfn.XLOOKUP(B22,[3]!Lojas[Sigla],[3]!Lojas[Logradouro]&amp;", "&amp;[3]!Lojas[Número]&amp;", "&amp;[3]!Lojas[Cidade]&amp;", "&amp;[3]!Lojas[Estado],"Não Encontrado")</f>
        <v>RUA RUI BARBOSA, 825, RIBEIRÃO PRETO, SP</v>
      </c>
      <c r="G22" t="str">
        <f>_xlfn.XLOOKUP(B22,'[1]LOJAS AUTOMAÇÃO'!$A:$A,'[1]LOJAS AUTOMAÇÃO'!$K:$K,"Não encontrado")</f>
        <v>MATEUS RAYMUNDO</v>
      </c>
      <c r="H22" t="str">
        <f>_xlfn.XLOOKUP(B22,[2]!Cronograma1[Cod],[2]!Cronograma1[Fornecedor],"Não Encontrado")</f>
        <v>Luminae</v>
      </c>
    </row>
    <row r="23" spans="1:11" hidden="1" x14ac:dyDescent="0.25">
      <c r="A23" t="s">
        <v>62</v>
      </c>
      <c r="B23" t="str">
        <v>JRS</v>
      </c>
      <c r="C23" t="str">
        <f>_xlfn.XLOOKUP(B23,[3]!Lojas[Sigla],[3]!Lojas[Nome Filial],"Não Encontrado")</f>
        <v>SAM´S S.J. DO RIO PRETO</v>
      </c>
      <c r="D23" t="str">
        <f>_xlfn.XLOOKUP(B23,[3]!Lojas[Sigla],[3]!Lojas[Cidade],"Não Encontrado")</f>
        <v>SAO JOSE DO RIO PRETO</v>
      </c>
      <c r="E23" t="str">
        <f>_xlfn.XLOOKUP(B23,[3]!Lojas[Sigla],[3]!Lojas[Estado],"Não Encontrado")</f>
        <v>SP</v>
      </c>
      <c r="F23" t="str" cm="1">
        <f t="array" ref="F23">_xlfn.XLOOKUP(B23,[3]!Lojas[Sigla],[3]!Lojas[Logradouro]&amp;", "&amp;[3]!Lojas[Número]&amp;", "&amp;[3]!Lojas[Cidade]&amp;", "&amp;[3]!Lojas[Estado],"Não Encontrado")</f>
        <v>AV JOSE MUNIA, 4501, SAO JOSE DO RIO PRETO, SP</v>
      </c>
      <c r="G23" t="str">
        <f>_xlfn.XLOOKUP(B23,'[1]LOJAS AUTOMAÇÃO'!$A:$A,'[1]LOJAS AUTOMAÇÃO'!$K:$K,"Não encontrado")</f>
        <v>MATEUS RAYMUNDO</v>
      </c>
      <c r="H23" t="str">
        <f>_xlfn.XLOOKUP(B23,[2]!Cronograma1[Cod],[2]!Cronograma1[Fornecedor],"Não Encontrado")</f>
        <v>Luminae</v>
      </c>
    </row>
    <row r="24" spans="1:11" hidden="1" x14ac:dyDescent="0.25">
      <c r="A24" t="s">
        <v>62</v>
      </c>
      <c r="B24" t="str">
        <v>PRS</v>
      </c>
      <c r="C24" t="str">
        <f>_xlfn.XLOOKUP(B24,[3]!Lojas[Sigla],[3]!Lojas[Nome Filial],"Não Encontrado")</f>
        <v>SAM´S PIRACICABA</v>
      </c>
      <c r="D24" t="str">
        <f>_xlfn.XLOOKUP(B24,[3]!Lojas[Sigla],[3]!Lojas[Cidade],"Não Encontrado")</f>
        <v>PIRACICABA</v>
      </c>
      <c r="E24" t="str">
        <f>_xlfn.XLOOKUP(B24,[3]!Lojas[Sigla],[3]!Lojas[Estado],"Não Encontrado")</f>
        <v>SP</v>
      </c>
      <c r="F24" t="str" cm="1">
        <f t="array" ref="F24">_xlfn.XLOOKUP(B24,[3]!Lojas[Sigla],[3]!Lojas[Logradouro]&amp;", "&amp;[3]!Lojas[Número]&amp;", "&amp;[3]!Lojas[Cidade]&amp;", "&amp;[3]!Lojas[Estado],"Não Encontrado")</f>
        <v>AV TRINTA E UM DE MARCO, 310, PIRACICABA, SP</v>
      </c>
      <c r="G24" t="str">
        <f>_xlfn.XLOOKUP(B24,'[1]LOJAS AUTOMAÇÃO'!$A:$A,'[1]LOJAS AUTOMAÇÃO'!$K:$K,"Não encontrado")</f>
        <v>CAMILA AVANÇO</v>
      </c>
      <c r="H24" t="str">
        <f>_xlfn.XLOOKUP(B24,[2]!Cronograma1[Cod],[2]!Cronograma1[Fornecedor],"Não Encontrado")</f>
        <v>Luminae</v>
      </c>
    </row>
    <row r="25" spans="1:11" hidden="1" x14ac:dyDescent="0.25">
      <c r="B25" t="str">
        <v>RPN</v>
      </c>
      <c r="C25" t="str">
        <f>_xlfn.XLOOKUP(B25,[3]!Lojas[Sigla],[3]!Lojas[Nome Filial],"Não Encontrado")</f>
        <v>HIPER RIBEIRAO PRETO NORTE</v>
      </c>
      <c r="D25" t="str">
        <f>_xlfn.XLOOKUP(B25,[3]!Lojas[Sigla],[3]!Lojas[Cidade],"Não Encontrado")</f>
        <v>RIBEIRÃO PRETO</v>
      </c>
      <c r="E25" t="str">
        <f>_xlfn.XLOOKUP(B25,[3]!Lojas[Sigla],[3]!Lojas[Estado],"Não Encontrado")</f>
        <v>SP</v>
      </c>
      <c r="F25" t="str" cm="1">
        <f t="array" ref="F25">_xlfn.XLOOKUP(B25,[3]!Lojas[Sigla],[3]!Lojas[Logradouro]&amp;", "&amp;[3]!Lojas[Número]&amp;", "&amp;[3]!Lojas[Cidade]&amp;", "&amp;[3]!Lojas[Estado],"Não Encontrado")</f>
        <v>RUA MUNICIPAL, 252, RIBEIRÃO PRETO, SP</v>
      </c>
      <c r="G25" t="str">
        <f>_xlfn.XLOOKUP(B25,'[1]LOJAS AUTOMAÇÃO'!$A:$A,'[1]LOJAS AUTOMAÇÃO'!$K:$K,"Não encontrado")</f>
        <v>MATEUS RAYMUNDO</v>
      </c>
      <c r="H25" t="str">
        <f>_xlfn.XLOOKUP(B25,[2]!Cronograma1[Cod],[2]!Cronograma1[Fornecedor],"Não Encontrado")</f>
        <v>Luminae</v>
      </c>
    </row>
    <row r="26" spans="1:11" hidden="1" x14ac:dyDescent="0.25">
      <c r="A26" t="s">
        <v>62</v>
      </c>
      <c r="B26" t="str">
        <v>CSS</v>
      </c>
      <c r="C26" t="str">
        <f>_xlfn.XLOOKUP(B26,[3]!Lojas[Sigla],[3]!Lojas[Nome Filial],"Não Encontrado")</f>
        <v>HIPER S.J RIO PRETO SHOPP</v>
      </c>
      <c r="D26" t="str">
        <f>_xlfn.XLOOKUP(B26,[3]!Lojas[Sigla],[3]!Lojas[Cidade],"Não Encontrado")</f>
        <v>SÃO JOSÉ DO RIO PRETO</v>
      </c>
      <c r="E26" t="str">
        <f>_xlfn.XLOOKUP(B26,[3]!Lojas[Sigla],[3]!Lojas[Estado],"Não Encontrado")</f>
        <v>SP</v>
      </c>
      <c r="F26" t="str" cm="1">
        <f t="array" ref="F26">_xlfn.XLOOKUP(B26,[3]!Lojas[Sigla],[3]!Lojas[Logradouro]&amp;", "&amp;[3]!Lojas[Número]&amp;", "&amp;[3]!Lojas[Cidade]&amp;", "&amp;[3]!Lojas[Estado],"Não Encontrado")</f>
        <v>AV. BRIGADEIRO FARIA LIMA, 6363, SÃO JOSÉ DO RIO PRETO, SP</v>
      </c>
      <c r="G26" t="str">
        <f>_xlfn.XLOOKUP(B26,'[1]LOJAS AUTOMAÇÃO'!$A:$A,'[1]LOJAS AUTOMAÇÃO'!$K:$K,"Não encontrado")</f>
        <v>MATEUS RAYMUNDO</v>
      </c>
      <c r="H26" t="str">
        <f>_xlfn.XLOOKUP(B26,[2]!Cronograma1[Cod],[2]!Cronograma1[Fornecedor],"Não Encontrado")</f>
        <v>Luminae</v>
      </c>
    </row>
    <row r="27" spans="1:11" x14ac:dyDescent="0.25">
      <c r="A27" t="s">
        <v>62</v>
      </c>
      <c r="B27" t="str">
        <v>ERE</v>
      </c>
      <c r="C27" t="str">
        <f>_xlfn.XLOOKUP(B27,[3]!Lojas[Sigla],[3]!Lojas[Nome Filial],"Não Encontrado")</f>
        <v>HIPER REBOUCAS</v>
      </c>
      <c r="D27" t="str">
        <f>_xlfn.XLOOKUP(B27,[3]!Lojas[Sigla],[3]!Lojas[Cidade],"Não Encontrado")</f>
        <v>SÃO PAULO</v>
      </c>
      <c r="E27" t="str">
        <f>_xlfn.XLOOKUP(B27,[3]!Lojas[Sigla],[3]!Lojas[Estado],"Não Encontrado")</f>
        <v>SP</v>
      </c>
      <c r="F27" t="str" cm="1">
        <f t="array" ref="F27">_xlfn.XLOOKUP(B27,[3]!Lojas[Sigla],[3]!Lojas[Logradouro]&amp;", "&amp;[3]!Lojas[Número]&amp;", "&amp;[3]!Lojas[Cidade]&amp;", "&amp;[3]!Lojas[Estado],"Não Encontrado")</f>
        <v>AV. REBOUCAS, 3970, SÃO PAULO, SP</v>
      </c>
      <c r="G27" t="str">
        <f>_xlfn.XLOOKUP(B27,'[1]LOJAS AUTOMAÇÃO'!$A:$A,'[1]LOJAS AUTOMAÇÃO'!$K:$K,"Não encontrado")</f>
        <v>JESSE SILVA</v>
      </c>
      <c r="H27" t="str">
        <f>_xlfn.XLOOKUP(B27,[2]!Cronograma1[Cod],[2]!Cronograma1[Fornecedor],"Não Encontrado")</f>
        <v>Luminae</v>
      </c>
    </row>
    <row r="28" spans="1:11" hidden="1" x14ac:dyDescent="0.25">
      <c r="B28" t="str">
        <v>GSF</v>
      </c>
      <c r="C28" t="str">
        <f>_xlfn.XLOOKUP(B28,[3]!Lojas[Sigla],[3]!Lojas[Nome Filial],"Não Encontrado")</f>
        <v>SUPER SANTA FELICIA</v>
      </c>
      <c r="D28" t="str">
        <f>_xlfn.XLOOKUP(B28,[3]!Lojas[Sigla],[3]!Lojas[Cidade],"Não Encontrado")</f>
        <v>SÃO CARLOS</v>
      </c>
      <c r="E28" t="str">
        <f>_xlfn.XLOOKUP(B28,[3]!Lojas[Sigla],[3]!Lojas[Estado],"Não Encontrado")</f>
        <v>SP</v>
      </c>
      <c r="F28" t="str" cm="1">
        <f t="array" ref="F28">_xlfn.XLOOKUP(B28,[3]!Lojas[Sigla],[3]!Lojas[Logradouro]&amp;", "&amp;[3]!Lojas[Número]&amp;", "&amp;[3]!Lojas[Cidade]&amp;", "&amp;[3]!Lojas[Estado],"Não Encontrado")</f>
        <v>AV. BRUNO RUGGIERO FILHO, 1751, SÃO CARLOS, SP</v>
      </c>
      <c r="G28" t="str">
        <f>_xlfn.XLOOKUP(B28,'[1]LOJAS AUTOMAÇÃO'!$A:$A,'[1]LOJAS AUTOMAÇÃO'!$K:$K,"Não encontrado")</f>
        <v>MATEUS RAYMUNDO</v>
      </c>
      <c r="H28" t="str">
        <f>_xlfn.XLOOKUP(B28,[2]!Cronograma1[Cod],[2]!Cronograma1[Fornecedor],"Não Encontrado")</f>
        <v>Luminae</v>
      </c>
    </row>
    <row r="29" spans="1:11" hidden="1" x14ac:dyDescent="0.25">
      <c r="A29" t="s">
        <v>62</v>
      </c>
      <c r="B29" t="str">
        <v>SJP</v>
      </c>
      <c r="C29" t="str">
        <f>_xlfn.XLOOKUP(B29,[3]!Lojas[Sigla],[3]!Lojas[Nome Filial],"Não Encontrado")</f>
        <v>HIPER SAO JOSE RIO PRETO</v>
      </c>
      <c r="D29" t="str">
        <f>_xlfn.XLOOKUP(B29,[3]!Lojas[Sigla],[3]!Lojas[Cidade],"Não Encontrado")</f>
        <v>SÃO JOSÉ DO RIO PRETO</v>
      </c>
      <c r="E29" t="str">
        <f>_xlfn.XLOOKUP(B29,[3]!Lojas[Sigla],[3]!Lojas[Estado],"Não Encontrado")</f>
        <v>SP</v>
      </c>
      <c r="F29" t="str" cm="1">
        <f t="array" ref="F29">_xlfn.XLOOKUP(B29,[3]!Lojas[Sigla],[3]!Lojas[Logradouro]&amp;", "&amp;[3]!Lojas[Número]&amp;", "&amp;[3]!Lojas[Cidade]&amp;", "&amp;[3]!Lojas[Estado],"Não Encontrado")</f>
        <v>AV. TANCREDO NEVES, 900, SÃO JOSÉ DO RIO PRETO, SP</v>
      </c>
      <c r="G29" t="str">
        <f>_xlfn.XLOOKUP(B29,'[1]LOJAS AUTOMAÇÃO'!$A:$A,'[1]LOJAS AUTOMAÇÃO'!$K:$K,"Não encontrado")</f>
        <v>MATEUS RAYMUNDO</v>
      </c>
      <c r="H29" t="str">
        <f>_xlfn.XLOOKUP(B29,[2]!Cronograma1[Cod],[2]!Cronograma1[Fornecedor],"Não Encontrado")</f>
        <v>Luminae</v>
      </c>
    </row>
    <row r="30" spans="1:11" x14ac:dyDescent="0.25">
      <c r="A30" t="s">
        <v>62</v>
      </c>
      <c r="B30" t="str">
        <v>CMO</v>
      </c>
      <c r="C30" t="str">
        <f>_xlfn.XLOOKUP(B30,[3]!Lojas[Sigla],[3]!Lojas[Nome Filial],"Não Encontrado")</f>
        <v>SUPER MORUMBI</v>
      </c>
      <c r="D30" t="str">
        <f>_xlfn.XLOOKUP(B30,[3]!Lojas[Sigla],[3]!Lojas[Cidade],"Não Encontrado")</f>
        <v>SÃO PAULO</v>
      </c>
      <c r="E30" t="str">
        <f>_xlfn.XLOOKUP(B30,[3]!Lojas[Sigla],[3]!Lojas[Estado],"Não Encontrado")</f>
        <v>SP</v>
      </c>
      <c r="F30" t="str" cm="1">
        <f t="array" ref="F30">_xlfn.XLOOKUP(B30,[3]!Lojas[Sigla],[3]!Lojas[Logradouro]&amp;", "&amp;[3]!Lojas[Número]&amp;", "&amp;[3]!Lojas[Cidade]&amp;", "&amp;[3]!Lojas[Estado],"Não Encontrado")</f>
        <v>AV.GUILHERME DUMONT VILARES, 1015, SÃO PAULO, SP</v>
      </c>
      <c r="G30" t="str">
        <f>_xlfn.XLOOKUP(B30,'[1]LOJAS AUTOMAÇÃO'!$A:$A,'[1]LOJAS AUTOMAÇÃO'!$K:$K,"Não encontrado")</f>
        <v>JESSE SILVA</v>
      </c>
      <c r="H30" t="str">
        <f>_xlfn.XLOOKUP(B30,[2]!Cronograma1[Cod],[2]!Cronograma1[Fornecedor],"Não Encontrado")</f>
        <v>Luminae</v>
      </c>
    </row>
    <row r="31" spans="1:11" x14ac:dyDescent="0.25">
      <c r="B31" t="str">
        <v>SBK</v>
      </c>
      <c r="C31" t="str">
        <f>_xlfn.XLOOKUP(B31,[3]!Lojas[Sigla],[3]!Lojas[Nome Filial],"Não Encontrado")</f>
        <v>HIPER BROOKLIN</v>
      </c>
      <c r="D31" t="str">
        <f>_xlfn.XLOOKUP(B31,[3]!Lojas[Sigla],[3]!Lojas[Cidade],"Não Encontrado")</f>
        <v>SÃO PAULO</v>
      </c>
      <c r="E31" t="str">
        <f>_xlfn.XLOOKUP(B31,[3]!Lojas[Sigla],[3]!Lojas[Estado],"Não Encontrado")</f>
        <v>SP</v>
      </c>
      <c r="F31" t="str" cm="1">
        <f t="array" ref="F31">_xlfn.XLOOKUP(B31,[3]!Lojas[Sigla],[3]!Lojas[Logradouro]&amp;", "&amp;[3]!Lojas[Número]&amp;", "&amp;[3]!Lojas[Cidade]&amp;", "&amp;[3]!Lojas[Estado],"Não Encontrado")</f>
        <v>AV.SANTO AMARO, 4815, SÃO PAULO, SP</v>
      </c>
      <c r="G31" t="str">
        <f>_xlfn.XLOOKUP(B31,'[1]LOJAS AUTOMAÇÃO'!$A:$A,'[1]LOJAS AUTOMAÇÃO'!$K:$K,"Não encontrado")</f>
        <v>JESSE SILVA</v>
      </c>
      <c r="H31" t="str">
        <f>_xlfn.XLOOKUP(B31,[2]!Cronograma1[Cod],[2]!Cronograma1[Fornecedor],"Não Encontrado")</f>
        <v>Luminae</v>
      </c>
    </row>
    <row r="32" spans="1:11" hidden="1" x14ac:dyDescent="0.25">
      <c r="C32" t="str">
        <f>_xlfn.XLOOKUP(B32,[3]!Lojas[Sigla],[3]!Lojas[Nome Filial],"Não Encontrado")</f>
        <v>Não Encontrado</v>
      </c>
      <c r="D32" t="str">
        <f>_xlfn.XLOOKUP(B32,[3]!Lojas[Sigla],[3]!Lojas[Cidade],"Não Encontrado")</f>
        <v>Não Encontrado</v>
      </c>
      <c r="E32" t="str">
        <f>_xlfn.XLOOKUP(B32,[3]!Lojas[Sigla],[3]!Lojas[Estado],"Não Encontrado")</f>
        <v>Não Encontrado</v>
      </c>
      <c r="F32" t="str" cm="1">
        <f t="array" ref="F32">_xlfn.XLOOKUP(B32,[3]!Lojas[Sigla],[3]!Lojas[Logradouro]&amp;", "&amp;[3]!Lojas[Número]&amp;", "&amp;[3]!Lojas[Cidade]&amp;", "&amp;[3]!Lojas[Estado],"Não Encontrado")</f>
        <v>Não Encontrado</v>
      </c>
      <c r="G32">
        <f>_xlfn.XLOOKUP(B32,'[1]LOJAS AUTOMAÇÃO'!$A:$A,'[1]LOJAS AUTOMAÇÃO'!$K:$K,"Não encontrado")</f>
        <v>0</v>
      </c>
      <c r="H32" t="str">
        <f>_xlfn.XLOOKUP(B32,[2]!Cronograma1[Cod],[2]!Cronograma1[Fornecedor],"Não Encontrado")</f>
        <v>Não Encontrado</v>
      </c>
    </row>
  </sheetData>
  <autoFilter ref="A1:H32" xr:uid="{AE8FAA7A-59A6-4235-B6F9-9756B0BF089D}">
    <filterColumn colId="6">
      <filters>
        <filter val="JESSE SILVA"/>
      </filters>
    </filterColumn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6B8A8-0A7C-4D7F-A151-D6C3C7C3F2AB}">
  <sheetPr codeName="Planilha3"/>
  <dimension ref="B2:B15"/>
  <sheetViews>
    <sheetView workbookViewId="0">
      <selection activeCell="B30" sqref="B30"/>
    </sheetView>
  </sheetViews>
  <sheetFormatPr defaultRowHeight="15" x14ac:dyDescent="0.25"/>
  <cols>
    <col min="2" max="2" width="58.140625" bestFit="1" customWidth="1"/>
  </cols>
  <sheetData>
    <row r="2" spans="2:2" x14ac:dyDescent="0.25">
      <c r="B2" t="s">
        <v>18</v>
      </c>
    </row>
    <row r="3" spans="2:2" x14ac:dyDescent="0.25">
      <c r="B3" t="s">
        <v>42</v>
      </c>
    </row>
    <row r="4" spans="2:2" x14ac:dyDescent="0.25">
      <c r="B4" t="s">
        <v>43</v>
      </c>
    </row>
    <row r="5" spans="2:2" x14ac:dyDescent="0.25">
      <c r="B5" t="s">
        <v>44</v>
      </c>
    </row>
    <row r="6" spans="2:2" x14ac:dyDescent="0.25">
      <c r="B6" t="s">
        <v>20</v>
      </c>
    </row>
    <row r="7" spans="2:2" x14ac:dyDescent="0.25">
      <c r="B7" t="s">
        <v>22</v>
      </c>
    </row>
    <row r="8" spans="2:2" x14ac:dyDescent="0.25">
      <c r="B8" t="s">
        <v>24</v>
      </c>
    </row>
    <row r="9" spans="2:2" x14ac:dyDescent="0.25">
      <c r="B9" t="s">
        <v>26</v>
      </c>
    </row>
    <row r="10" spans="2:2" x14ac:dyDescent="0.25">
      <c r="B10" t="s">
        <v>28</v>
      </c>
    </row>
    <row r="11" spans="2:2" x14ac:dyDescent="0.25">
      <c r="B11" t="s">
        <v>30</v>
      </c>
    </row>
    <row r="12" spans="2:2" x14ac:dyDescent="0.25">
      <c r="B12" t="s">
        <v>28</v>
      </c>
    </row>
    <row r="13" spans="2:2" x14ac:dyDescent="0.25">
      <c r="B13" t="s">
        <v>33</v>
      </c>
    </row>
    <row r="14" spans="2:2" x14ac:dyDescent="0.25">
      <c r="B14" t="s">
        <v>35</v>
      </c>
    </row>
    <row r="15" spans="2:2" x14ac:dyDescent="0.25">
      <c r="B15" t="s">
        <v>37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1702D-576D-4303-8F40-03F092D93139}">
  <sheetPr codeName="Planilha4"/>
  <dimension ref="A1:E15"/>
  <sheetViews>
    <sheetView workbookViewId="0">
      <selection activeCell="B5" sqref="B5"/>
    </sheetView>
  </sheetViews>
  <sheetFormatPr defaultRowHeight="15" x14ac:dyDescent="0.25"/>
  <cols>
    <col min="1" max="1" width="39.85546875" bestFit="1" customWidth="1"/>
    <col min="2" max="2" width="28.5703125" bestFit="1" customWidth="1"/>
    <col min="3" max="3" width="15.42578125" bestFit="1" customWidth="1"/>
    <col min="4" max="4" width="10.5703125" bestFit="1" customWidth="1"/>
  </cols>
  <sheetData>
    <row r="1" spans="1:5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</row>
    <row r="2" spans="1:5" x14ac:dyDescent="0.25">
      <c r="A2" t="s">
        <v>7</v>
      </c>
      <c r="B2" t="s">
        <v>8</v>
      </c>
      <c r="C2" t="s">
        <v>61</v>
      </c>
      <c r="E2" t="s">
        <v>10</v>
      </c>
    </row>
    <row r="3" spans="1:5" x14ac:dyDescent="0.25">
      <c r="A3" t="s">
        <v>45</v>
      </c>
      <c r="B3" t="s">
        <v>8</v>
      </c>
      <c r="C3" t="s">
        <v>61</v>
      </c>
      <c r="E3" t="s">
        <v>10</v>
      </c>
    </row>
    <row r="4" spans="1:5" x14ac:dyDescent="0.25">
      <c r="A4" t="s">
        <v>46</v>
      </c>
      <c r="B4" t="s">
        <v>47</v>
      </c>
      <c r="C4" t="s">
        <v>61</v>
      </c>
      <c r="E4" t="s">
        <v>10</v>
      </c>
    </row>
    <row r="5" spans="1:5" x14ac:dyDescent="0.25">
      <c r="A5" t="s">
        <v>48</v>
      </c>
      <c r="B5" t="s">
        <v>8</v>
      </c>
      <c r="C5" t="s">
        <v>61</v>
      </c>
      <c r="E5" t="s">
        <v>55</v>
      </c>
    </row>
    <row r="6" spans="1:5" x14ac:dyDescent="0.25">
      <c r="A6" t="s">
        <v>49</v>
      </c>
      <c r="B6" t="s">
        <v>47</v>
      </c>
      <c r="C6" t="s">
        <v>61</v>
      </c>
      <c r="E6" t="s">
        <v>55</v>
      </c>
    </row>
    <row r="7" spans="1:5" x14ac:dyDescent="0.25">
      <c r="A7" t="s">
        <v>50</v>
      </c>
      <c r="B7" t="s">
        <v>47</v>
      </c>
      <c r="C7" t="s">
        <v>61</v>
      </c>
      <c r="E7" t="s">
        <v>55</v>
      </c>
    </row>
    <row r="8" spans="1:5" x14ac:dyDescent="0.25">
      <c r="A8" t="s">
        <v>51</v>
      </c>
      <c r="B8" t="s">
        <v>47</v>
      </c>
      <c r="C8" t="s">
        <v>61</v>
      </c>
      <c r="E8" t="s">
        <v>55</v>
      </c>
    </row>
    <row r="9" spans="1:5" x14ac:dyDescent="0.25">
      <c r="A9" t="s">
        <v>52</v>
      </c>
      <c r="B9" t="s">
        <v>47</v>
      </c>
      <c r="C9" t="s">
        <v>61</v>
      </c>
      <c r="E9" t="s">
        <v>55</v>
      </c>
    </row>
    <row r="10" spans="1:5" x14ac:dyDescent="0.25">
      <c r="A10" t="s">
        <v>53</v>
      </c>
      <c r="B10" t="s">
        <v>47</v>
      </c>
      <c r="C10" t="s">
        <v>61</v>
      </c>
      <c r="E10" t="s">
        <v>55</v>
      </c>
    </row>
    <row r="11" spans="1:5" x14ac:dyDescent="0.25">
      <c r="A11" t="s">
        <v>54</v>
      </c>
      <c r="B11" t="s">
        <v>47</v>
      </c>
      <c r="C11" t="s">
        <v>61</v>
      </c>
      <c r="E11" t="s">
        <v>55</v>
      </c>
    </row>
    <row r="12" spans="1:5" x14ac:dyDescent="0.25">
      <c r="A12" t="s">
        <v>56</v>
      </c>
      <c r="B12" t="s">
        <v>8</v>
      </c>
      <c r="C12" t="s">
        <v>61</v>
      </c>
      <c r="E12" t="s">
        <v>57</v>
      </c>
    </row>
    <row r="13" spans="1:5" x14ac:dyDescent="0.25">
      <c r="A13" t="s">
        <v>58</v>
      </c>
      <c r="B13" t="s">
        <v>47</v>
      </c>
      <c r="C13" t="s">
        <v>61</v>
      </c>
      <c r="E13" t="s">
        <v>57</v>
      </c>
    </row>
    <row r="14" spans="1:5" x14ac:dyDescent="0.25">
      <c r="A14" t="s">
        <v>59</v>
      </c>
      <c r="B14" t="s">
        <v>47</v>
      </c>
      <c r="C14" t="s">
        <v>61</v>
      </c>
      <c r="E14" t="s">
        <v>57</v>
      </c>
    </row>
    <row r="15" spans="1:5" x14ac:dyDescent="0.25">
      <c r="A15" t="s">
        <v>60</v>
      </c>
      <c r="B15" t="s">
        <v>47</v>
      </c>
      <c r="C15" t="s">
        <v>61</v>
      </c>
      <c r="E15" t="s">
        <v>57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fa59abdf-b9d8-495e-b5c2-1bac8aab01ed}" enabled="0" method="" siteId="{fa59abdf-b9d8-495e-b5c2-1bac8aab01e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Dados</vt:lpstr>
      <vt:lpstr>bd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Cruz</dc:creator>
  <cp:lastModifiedBy>Rafael Cruz</cp:lastModifiedBy>
  <dcterms:created xsi:type="dcterms:W3CDTF">2025-05-28T20:01:43Z</dcterms:created>
  <dcterms:modified xsi:type="dcterms:W3CDTF">2025-06-11T21:00:07Z</dcterms:modified>
</cp:coreProperties>
</file>